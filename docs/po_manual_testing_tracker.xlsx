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3610244f8a41ab" /></Relationships>
</file>

<file path=xl/workbook.xml><?xml version="1.0" encoding="utf-8"?>
<x:workbook xmlns:x="http://schemas.openxmlformats.org/spreadsheetml/2006/main">
  <x:sheets>
    <x:sheet xmlns:r="http://schemas.openxmlformats.org/officeDocument/2006/relationships" name="Dashboard" sheetId="1" r:id="R52031b58ddeb45d4"/>
    <x:sheet xmlns:r="http://schemas.openxmlformats.org/officeDocument/2006/relationships" name="Test Execution" sheetId="2" r:id="Rf1c52d2c4c0042de"/>
    <x:sheet xmlns:r="http://schemas.openxmlformats.org/officeDocument/2006/relationships" name="Bug Log" sheetId="3" r:id="Rfb5be804374e4ab5"/>
    <x:sheet xmlns:r="http://schemas.openxmlformats.org/officeDocument/2006/relationships" name="Lists" sheetId="4" r:id="Rbeff7b404a124362"/>
    <x:sheet xmlns:r="http://schemas.openxmlformats.org/officeDocument/2006/relationships" name="Instructions" sheetId="5" r:id="Rd3116f941ad14da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4"/>
      <x:color rgb="FFFFFF"/>
      <x:name val="Carlito"/>
    </x:font>
    <x:font>
      <x:b/>
      <x:sz val="11"/>
      <x:color rgb="FFFFFF"/>
      <x:name val="Carlito"/>
    </x:font>
    <x:font>
      <x:b/>
      <x:sz val="11"/>
      <x:color rgb="0F172A"/>
      <x:name val="Carlito"/>
    </x:font>
  </x:fonts>
  <x:fills count="5">
    <x:fill>
      <x:patternFill patternType="none"/>
    </x:fill>
    <x:fill>
      <x:patternFill patternType="gray125"/>
    </x:fill>
    <x:fill>
      <x:patternFill patternType="solid">
        <x:fgColor rgb="0F172A"/>
      </x:patternFill>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cellXfs>
  <x:cellStyles count="1">
    <x:cellStyle name="Normal" xfId="0"/>
  </x:cellStyles>
  <x:dxfs count="11">
    <x:dxf>
      <x:font>
        <x:color rgb="166534"/>
      </x:font>
      <x:fill>
        <x:patternFill patternType="solid">
          <x:bgColor rgb="DCFCE7"/>
        </x:patternFill>
      </x:fill>
    </x:dxf>
    <x:dxf>
      <x:font>
        <x:b/>
        <x:color rgb="991B1B"/>
      </x:font>
      <x:fill>
        <x:patternFill patternType="solid">
          <x:bgColor rgb="FECACA"/>
        </x:patternFill>
      </x:fill>
    </x:dxf>
    <x:dxf>
      <x:font>
        <x:b/>
        <x:color rgb="92400E"/>
      </x:font>
      <x:fill>
        <x:patternFill patternType="solid">
          <x:bgColor rgb="FEF3C7"/>
        </x:patternFill>
      </x:fill>
    </x:dxf>
    <x:dxf>
      <x:font>
        <x:color rgb="1E40AF"/>
      </x:font>
      <x:fill>
        <x:patternFill patternType="solid">
          <x:bgColor rgb="DBEAFE"/>
        </x:patternFill>
      </x:fill>
    </x:dxf>
    <x:dxf>
      <x:font>
        <x:b/>
        <x:color rgb="FFFFFF"/>
      </x:font>
      <x:fill>
        <x:patternFill patternType="solid">
          <x:bgColor rgb="7F1D1D"/>
        </x:patternFill>
      </x:fill>
    </x:dxf>
    <x:dxf>
      <x:font>
        <x:b/>
        <x:color rgb="991B1B"/>
      </x:font>
      <x:fill>
        <x:patternFill patternType="solid">
          <x:bgColor rgb="FECACA"/>
        </x:patternFill>
      </x:fill>
    </x:dxf>
    <x:dxf>
      <x:font>
        <x:color rgb="92400E"/>
      </x:font>
      <x:fill>
        <x:patternFill patternType="solid">
          <x:bgColor rgb="FEF3C7"/>
        </x:patternFill>
      </x:fill>
    </x:dxf>
    <x:dxf>
      <x:font>
        <x:color rgb="075985"/>
      </x:font>
      <x:fill>
        <x:patternFill patternType="solid">
          <x:bgColor rgb="E0F2FE"/>
        </x:patternFill>
      </x:fill>
    </x:dxf>
    <x:dxf>
      <x:font>
        <x:color rgb="166534"/>
      </x:font>
      <x:fill>
        <x:patternFill patternType="solid">
          <x:bgColor rgb="DCFCE7"/>
        </x:patternFill>
      </x:fill>
    </x:dxf>
    <x:dxf>
      <x:font>
        <x:color rgb="1E40AF"/>
      </x:font>
      <x:fill>
        <x:patternFill patternType="solid">
          <x:bgColor rgb="DBEAFE"/>
        </x:patternFill>
      </x:fill>
    </x:dxf>
    <x:dxf>
      <x:font>
        <x:color rgb="991B1B"/>
      </x:font>
      <x:fill>
        <x:patternFill patternType="solid">
          <x:bgColor rgb="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1b22c2b4ec4775" /><Relationship Type="http://schemas.openxmlformats.org/officeDocument/2006/relationships/theme" Target="/xl/theme/theme1.xml" Id="R96fb71489fb549fa" /><Relationship Type="http://schemas.openxmlformats.org/officeDocument/2006/relationships/sharedStrings" Target="/xl/sharedStrings.xml" Id="R10ac97cceb7c43e9" /><Relationship Type="http://schemas.openxmlformats.org/officeDocument/2006/relationships/worksheet" Target="/xl/worksheets/sheet1.xml" Id="R52031b58ddeb45d4" /><Relationship Type="http://schemas.openxmlformats.org/officeDocument/2006/relationships/worksheet" Target="/xl/worksheets/sheet2.xml" Id="Rf1c52d2c4c0042de" /><Relationship Type="http://schemas.openxmlformats.org/officeDocument/2006/relationships/worksheet" Target="/xl/worksheets/sheet3.xml" Id="Rfb5be804374e4ab5" /><Relationship Type="http://schemas.openxmlformats.org/officeDocument/2006/relationships/worksheet" Target="/xl/worksheets/sheet4.xml" Id="Rbeff7b404a124362" /><Relationship Type="http://schemas.openxmlformats.org/officeDocument/2006/relationships/worksheet" Target="/xl/worksheets/sheet5.xml" Id="Rd3116f941ad14da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97adad334843b0" /><Relationship Type="http://schemas.openxmlformats.org/officeDocument/2006/relationships/chart" Target="/xl/drawings/charts/chart2.xml" Id="R55db30ce38da437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Execution Status</a:t>
            </a:r>
          </a:p>
        </c:rich>
      </c:tx>
      <c:overlay val="0"/>
    </c:title>
    <c:autoTitleDeleted val="0"/>
    <c:plotArea>
      <c:layout/>
      <c:barChart>
        <c:barDir val="col"/>
        <c:varyColors val="0"/>
        <c:ser>
          <c:idx val="0"/>
          <c:order val="0"/>
          <c:tx>
            <c:v>Series 1</c:v>
          </c:tx>
          <c:cat>
            <c:strRef>
              <c:f>'Dashboard'!$A$3:$A$9</c:f>
              <c:strCache>
                <c:ptCount val="0"/>
              </c:strCache>
            </c:strRef>
          </c:cat>
          <c:val>
            <c:numRef>
              <c:f>'Dashboard'!$B$3:$B$9</c:f>
              <c:numCache>
                <c:formatCode/>
                <c:ptCount val="0"/>
              </c:numCache>
            </c:numRef>
          </c:val>
        </c:ser>
        <c:ser>
          <c:idx val="1"/>
          <c:order val="1"/>
          <c:tx>
            <c:v>Series 2</c:v>
          </c:tx>
          <c:cat>
            <c:strRef>
              <c:f>'Dashboard'!$A$3:$A$9</c:f>
              <c:strCache>
                <c:ptCount val="0"/>
              </c:strCache>
            </c:strRef>
          </c:cat>
          <c:val>
            <c:numRef>
              <c:f>'Dashboard'!$C$3:$C$9</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Bug Log Summary</a:t>
            </a:r>
          </a:p>
        </c:rich>
      </c:tx>
      <c:overlay val="0"/>
    </c:title>
    <c:autoTitleDeleted val="0"/>
    <c:plotArea>
      <c:layout/>
      <c:barChart>
        <c:barDir val="col"/>
        <c:varyColors val="0"/>
        <c:ser>
          <c:idx val="0"/>
          <c:order val="0"/>
          <c:tx>
            <c:v>Series 1</c:v>
          </c:tx>
          <c:cat>
            <c:strRef>
              <c:f>'Dashboard'!$E$3:$E$8</c:f>
              <c:strCache>
                <c:ptCount val="0"/>
              </c:strCache>
            </c:strRef>
          </c:cat>
          <c:val>
            <c:numRef>
              <c:f>'Dashboard'!$F$3:$F$8</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97adad334843b0"/>
        </a:graphicData>
      </a:graphic>
    </xdr:graphicFrame>
    <xdr:clientData/>
  </xdr:twoCellAnchor>
  <xdr:twoCellAnchor>
    <xdr:from>
      <xdr:col>8</xdr:col>
      <xdr:colOff>0</xdr:colOff>
      <xdr:row>19</xdr:row>
      <xdr:rowOff>0</xdr:rowOff>
    </xdr:from>
    <xdr:to>
      <xdr:col>16</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db30ce38da437e"/>
        </a:graphicData>
      </a:graphic>
    </xdr:graphicFrame>
    <xdr:clientData/>
  </xdr:twoCellAnchor>
</xdr:wsDr>
</file>

<file path=xl/tables/table1.xml><?xml version="1.0" encoding="utf-8"?>
<x:table xmlns:x="http://schemas.openxmlformats.org/spreadsheetml/2006/main" id="1" name="TestExecutionTable" displayName="TestExecutionTable" ref="A2:V118" headerRowCount="1">
  <x:tableColumns count="22">
    <x:tableColumn id="1" name="Test Case ID"/>
    <x:tableColumn id="2" name="Test Area"/>
    <x:tableColumn id="3" name="Test Objective"/>
    <x:tableColumn id="4" name="Starting Page"/>
    <x:tableColumn id="5" name="Test PO / Supplier / Plant"/>
    <x:tableColumn id="6" name="Priority"/>
    <x:tableColumn id="7" name="Execution Status"/>
    <x:tableColumn id="8" name="Actual Result / Evidence"/>
    <x:tableColumn id="9" name="Bug ID(s)"/>
    <x:tableColumn id="10" name="Bug Severity"/>
    <x:tableColumn id="11" name="Owner"/>
    <x:tableColumn id="12" name="Test Date"/>
    <x:tableColumn id="13" name="Retest Status"/>
    <x:tableColumn id="14" name="Retest Date"/>
    <x:tableColumn id="15" name="Steps for me to perform"/>
    <x:tableColumn id="16" name="Expected result in app"/>
    <x:tableColumn id="17" name="Manual validation method"/>
    <x:tableColumn id="18" name="Source fields to check"/>
    <x:tableColumn id="19" name="PASS criteria"/>
    <x:tableColumn id="20" name="FAIL criteria"/>
    <x:tableColumn id="21" name="Pre-condition"/>
    <x:tableColumn id="22" name="Notes"/>
  </x:tableColumns>
  <x:tableStyleInfo name="TableStyleMedium2" showRowStripes="1"/>
</x:table>
</file>

<file path=xl/tables/table2.xml><?xml version="1.0" encoding="utf-8"?>
<x:table xmlns:x="http://schemas.openxmlformats.org/spreadsheetml/2006/main" id="2" name="BugLogTable" displayName="BugLogTable" ref="A2:R102" headerRowCount="1">
  <x:tableColumns count="18">
    <x:tableColumn id="1" name="Bug ID"/>
    <x:tableColumn id="2" name="Linked Test Case ID"/>
    <x:tableColumn id="3" name="Date Found"/>
    <x:tableColumn id="4" name="Module / Area"/>
    <x:tableColumn id="5" name="Severity"/>
    <x:tableColumn id="6" name="Priority"/>
    <x:tableColumn id="7" name="Bug Status"/>
    <x:tableColumn id="8" name="Bug Summary"/>
    <x:tableColumn id="9" name="Steps to Reproduce"/>
    <x:tableColumn id="10" name="Expected Result"/>
    <x:tableColumn id="11" name="Actual Result"/>
    <x:tableColumn id="12" name="Screenshot / Evidence Link"/>
    <x:tableColumn id="13" name="Assigned To"/>
    <x:tableColumn id="14" name="Fix Notes"/>
    <x:tableColumn id="15" name="Retest Result"/>
    <x:tableColumn id="16" name="Closed Date"/>
    <x:tableColumn id="17" name="Release / Build"/>
    <x:tableColumn id="18" name="Root Cause"/>
  </x:tableColumns>
  <x:tableStyleInfo name="TableStyleMedium2" showRowStripes="1"/>
</x:table>
</file>

<file path=xl/tables/table3.xml><?xml version="1.0" encoding="utf-8"?>
<x:table xmlns:x="http://schemas.openxmlformats.org/spreadsheetml/2006/main" id="3" name="ListsTable" displayName="ListsTable" ref="A1:F9" headerRowCount="1">
  <x:tableColumns count="6">
    <x:tableColumn id="1" name="Execution Status"/>
    <x:tableColumn id="2" name="Retest Status"/>
    <x:tableColumn id="3" name="Bug Severity"/>
    <x:tableColumn id="4" name="Bug Status"/>
    <x:tableColumn id="5" name="Priority"/>
    <x:tableColumn id="6" name="YesN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09e6aecfa1d4d82" /></Relationships>
</file>

<file path=xl/worksheets/_rels/sheet2.xml.rels>&#65279;<?xml version="1.0" encoding="utf-8"?><Relationships xmlns="http://schemas.openxmlformats.org/package/2006/relationships"><Relationship Type="http://schemas.openxmlformats.org/officeDocument/2006/relationships/table" Target="/xl/tables/table1.xml" Id="Rad942aa280f14209" /></Relationships>
</file>

<file path=xl/worksheets/_rels/sheet3.xml.rels>&#65279;<?xml version="1.0" encoding="utf-8"?><Relationships xmlns="http://schemas.openxmlformats.org/package/2006/relationships"><Relationship Type="http://schemas.openxmlformats.org/officeDocument/2006/relationships/table" Target="/xl/tables/table2.xml" Id="Rb8278157058f4078" /></Relationships>
</file>

<file path=xl/worksheets/_rels/sheet4.xml.rels>&#65279;<?xml version="1.0" encoding="utf-8"?><Relationships xmlns="http://schemas.openxmlformats.org/package/2006/relationships"><Relationship Type="http://schemas.openxmlformats.org/officeDocument/2006/relationships/table" Target="/xl/tables/table3.xml" Id="R1b55d6d05a9a4a7f" /></Relationships>
</file>

<file path=xl/worksheets/sheet1.xml><?xml version="1.0" encoding="utf-8"?>
<x:worksheet xmlns:x="http://schemas.openxmlformats.org/spreadsheetml/2006/main">
  <x:sheetFormatPr defaultRowHeight="15"/>
  <x:cols>
    <x:col min="1" max="1" width="28" hidden="0" customWidth="1"/>
    <x:col min="2" max="2" width="34" hidden="0" customWidth="1"/>
    <x:col min="3" max="3" width="16" hidden="0" customWidth="1"/>
    <x:col min="5" max="5" width="24" hidden="0" customWidth="1"/>
    <x:col min="6" max="6" width="16" hidden="0" customWidth="1"/>
    <x:col min="7" max="7" width="18" hidden="0" customWidth="1"/>
  </x:cols>
  <x:sheetData>
    <x:row r="1">
      <x:c r="A1" s="38" t="str">
        <x:v>Manual Testing Dashboard</x:v>
      </x:c>
      <x:c r="B1" s="38" t="str"/>
      <x:c r="C1" s="38" t="str"/>
      <x:c r="D1" s="38" t="str"/>
      <x:c r="E1" s="38" t="str"/>
      <x:c r="F1" s="38" t="str"/>
      <x:c r="G1" s="30"/>
    </x:row>
    <x:row r="2">
      <x:c r="A2" s="14" t="str">
        <x:v>Metric</x:v>
      </x:c>
      <x:c r="B2" s="14" t="str">
        <x:v>Formula / Meaning</x:v>
      </x:c>
      <x:c r="C2" s="14" t="str">
        <x:v>Value</x:v>
      </x:c>
      <x:c r="D2" s="14" t="str"/>
      <x:c r="E2" s="14" t="str">
        <x:v>Bug Metric</x:v>
      </x:c>
      <x:c r="F2" s="14" t="str">
        <x:v>Value</x:v>
      </x:c>
      <x:c r="G2" s="30"/>
    </x:row>
    <x:row r="3">
      <x:c r="A3" s="30" t="str">
        <x:v>Total Test Cases</x:v>
      </x:c>
      <x:c r="B3" s="30" t="str">
        <x:v>All imported manual test cases</x:v>
      </x:c>
      <x:c r="C3" s="30" t="n">
        <x:f>COUNTA('Test Execution'!A3:A118)</x:f>
        <x:v>116</x:v>
      </x:c>
      <x:c r="D3" s="30" t="str"/>
      <x:c r="E3" s="30" t="str">
        <x:v>Total Bugs Logged</x:v>
      </x:c>
      <x:c r="F3" s="30" t="n">
        <x:f>COUNTIF('Bug Log'!A3:A102,"&lt;&gt;")</x:f>
        <x:v>0</x:v>
      </x:c>
      <x:c r="G3" s="30"/>
    </x:row>
    <x:row r="4">
      <x:c r="A4" s="30" t="str">
        <x:v>Not Started</x:v>
      </x:c>
      <x:c r="B4" s="30" t="str">
        <x:v>Execution Status</x:v>
      </x:c>
      <x:c r="C4" s="30" t="n">
        <x:f>COUNTIF('Test Execution'!G3:G118,"Not Started")</x:f>
        <x:v>116</x:v>
      </x:c>
      <x:c r="D4" s="30" t="str"/>
      <x:c r="E4" s="30" t="str">
        <x:v>Open/New/In Progress</x:v>
      </x:c>
      <x:c r="F4" s="30" t="n">
        <x:f>COUNTIFS('Bug Log'!A3:A102,"&lt;&gt;",'Bug Log'!G3:G102,"&lt;&gt;Closed")</x:f>
        <x:v>0</x:v>
      </x:c>
      <x:c r="G4" s="30"/>
    </x:row>
    <x:row r="5">
      <x:c r="A5" s="30" t="str">
        <x:v>In Progress</x:v>
      </x:c>
      <x:c r="B5" s="30" t="str">
        <x:v>Execution Status</x:v>
      </x:c>
      <x:c r="C5" s="30" t="n">
        <x:f>COUNTIF('Test Execution'!G3:G118,"In Progress")</x:f>
        <x:v>0</x:v>
      </x:c>
      <x:c r="D5" s="30" t="str"/>
      <x:c r="E5" s="30" t="str">
        <x:v>Critical Bugs Open</x:v>
      </x:c>
      <x:c r="F5" s="30" t="n">
        <x:f>COUNTIFS('Bug Log'!A3:A102,"&lt;&gt;",'Bug Log'!E3:E102,"Critical",'Bug Log'!G3:G102,"&lt;&gt;Closed")</x:f>
        <x:v>0</x:v>
      </x:c>
      <x:c r="G5" s="30"/>
    </x:row>
    <x:row r="6">
      <x:c r="A6" s="30" t="str">
        <x:v>Passed</x:v>
      </x:c>
      <x:c r="B6" s="30" t="str">
        <x:v>Execution Status</x:v>
      </x:c>
      <x:c r="C6" s="30" t="n">
        <x:f>COUNTIF('Test Execution'!G3:G118,"Pass")</x:f>
        <x:v>0</x:v>
      </x:c>
      <x:c r="D6" s="30" t="str"/>
      <x:c r="E6" s="30" t="str">
        <x:v>High Bugs Open</x:v>
      </x:c>
      <x:c r="F6" s="30" t="n">
        <x:f>COUNTIFS('Bug Log'!A3:A102,"&lt;&gt;",'Bug Log'!E3:E102,"High",'Bug Log'!G3:G102,"&lt;&gt;Closed")</x:f>
        <x:v>0</x:v>
      </x:c>
      <x:c r="G6" s="30"/>
    </x:row>
    <x:row r="7">
      <x:c r="A7" s="30" t="str">
        <x:v>Failed</x:v>
      </x:c>
      <x:c r="B7" s="30" t="str">
        <x:v>Execution Status</x:v>
      </x:c>
      <x:c r="C7" s="30" t="n">
        <x:f>COUNTIF('Test Execution'!G3:G118,"Fail")</x:f>
        <x:v>0</x:v>
      </x:c>
      <x:c r="D7" s="30" t="str"/>
      <x:c r="E7" s="30" t="str">
        <x:v>Ready for Retest</x:v>
      </x:c>
      <x:c r="F7" s="30" t="n">
        <x:f>COUNTIFS('Bug Log'!A3:A102,"&lt;&gt;",'Bug Log'!G3:G102,"Ready for Retest")</x:f>
        <x:v>0</x:v>
      </x:c>
      <x:c r="G7" s="30"/>
    </x:row>
    <x:row r="8">
      <x:c r="A8" s="30" t="str">
        <x:v>Blocked</x:v>
      </x:c>
      <x:c r="B8" s="30" t="str">
        <x:v>Execution Status</x:v>
      </x:c>
      <x:c r="C8" s="30" t="n">
        <x:f>COUNTIF('Test Execution'!G3:G118,"Blocked")</x:f>
        <x:v>0</x:v>
      </x:c>
      <x:c r="D8" s="30" t="str"/>
      <x:c r="E8" s="30" t="str">
        <x:v>Closed Bugs</x:v>
      </x:c>
      <x:c r="F8" s="30" t="n">
        <x:f>COUNTIFS('Bug Log'!A3:A102,"&lt;&gt;",'Bug Log'!G3:G102,"Closed")</x:f>
        <x:v>0</x:v>
      </x:c>
      <x:c r="G8" s="30"/>
    </x:row>
    <x:row r="9">
      <x:c r="A9" s="30" t="str">
        <x:v>N/A</x:v>
      </x:c>
      <x:c r="B9" s="30" t="str">
        <x:v>Execution Status</x:v>
      </x:c>
      <x:c r="C9" s="30" t="n">
        <x:f>COUNTIF('Test Execution'!G3:G118,"N/A")</x:f>
        <x:v>0</x:v>
      </x:c>
      <x:c r="D9" s="30" t="str"/>
      <x:c r="E9" s="30" t="str"/>
      <x:c r="F9" s="30" t="str"/>
      <x:c r="G9" s="30"/>
    </x:row>
    <x:row r="10">
      <x:c r="A10" s="30" t="str">
        <x:v>Completion %</x:v>
      </x:c>
      <x:c r="B10" s="30" t="str">
        <x:v>Pass + N/A divided by total</x:v>
      </x:c>
      <x:c r="C10" s="34" t="n">
        <x:f>IF(C3=0,0,(C6+C9)/C3)</x:f>
        <x:v>0</x:v>
      </x:c>
      <x:c r="D10" s="30" t="str"/>
      <x:c r="E10" s="30" t="str"/>
      <x:c r="F10" s="30" t="str"/>
      <x:c r="G10" s="30"/>
    </x:row>
    <x:row r="11">
      <x:c r="A11" s="30" t="str">
        <x:v>Critical/High Remaining</x:v>
      </x:c>
      <x:c r="B11" s="30" t="str">
        <x:v>Critical/High tests not yet passed or N/A</x:v>
      </x:c>
      <x:c r="C11" s="30" t="n">
        <x:f>COUNTIFS('Test Execution'!F3:F118,"Critical",'Test Execution'!G3:G118,"&lt;&gt;Pass",'Test Execution'!G3:G118,"&lt;&gt;N/A")+COUNTIFS('Test Execution'!F3:F118,"High",'Test Execution'!G3:G118,"&lt;&gt;Pass",'Test Execution'!G3:G118,"&lt;&gt;N/A")</x:f>
        <x:v>95</x:v>
      </x:c>
      <x:c r="D11" s="30" t="str"/>
      <x:c r="E11" s="30" t="str"/>
      <x:c r="F11" s="30" t="str"/>
      <x:c r="G11" s="30"/>
    </x:row>
    <x:row r="12">
      <x:c r="A12" s="30" t="str">
        <x:v>Go / No-Go</x:v>
      </x:c>
      <x:c r="B12" s="30" t="str">
        <x:v>Single-user MVP readiness guard</x:v>
      </x:c>
      <x:c r="C12" s="30" t="str">
        <x:f>IF(AND(C11=0,F5=0),"GO for single-user MVP review","NO-GO: continue fixes/testing")</x:f>
        <x:v>NO-GO: continue fixes/testing</x:v>
      </x:c>
      <x:c r="D12" s="30" t="str"/>
      <x:c r="E12" s="30" t="str"/>
      <x:c r="F12" s="30" t="str"/>
      <x:c r="G12" s="30"/>
    </x:row>
    <x:row r="13">
      <x:c r="A13" s="30"/>
      <x:c r="B13" s="30"/>
      <x:c r="C13" s="30"/>
      <x:c r="D13" s="30"/>
      <x:c r="E13" s="30"/>
      <x:c r="F13" s="30"/>
      <x:c r="G13" s="30"/>
    </x:row>
    <x:row r="14">
      <x:c r="A14" s="30"/>
      <x:c r="B14" s="30"/>
      <x:c r="C14" s="30"/>
      <x:c r="D14" s="30"/>
      <x:c r="E14" s="30"/>
      <x:c r="F14" s="30"/>
      <x:c r="G14" s="30"/>
    </x:row>
    <x:row r="15">
      <x:c r="A15" s="14" t="str">
        <x:v>Test Area</x:v>
      </x:c>
      <x:c r="B15" s="14" t="str">
        <x:v>Total</x:v>
      </x:c>
      <x:c r="C15" s="14" t="str">
        <x:v>Pass</x:v>
      </x:c>
      <x:c r="D15" s="14" t="str">
        <x:v>Fail</x:v>
      </x:c>
      <x:c r="E15" s="14" t="str">
        <x:v>Blocked</x:v>
      </x:c>
      <x:c r="F15" s="14" t="str">
        <x:v>Not Started</x:v>
      </x:c>
      <x:c r="G15" s="14" t="str">
        <x:v>Completion %</x:v>
      </x:c>
    </x:row>
    <x:row r="16">
      <x:c r="A16" s="30" t="str">
        <x:v>Dashboard KPI Validation</x:v>
      </x:c>
      <x:c r="B16" s="30" t="n">
        <x:f>COUNTIF('Test Execution'!B3:B118,A16)</x:f>
        <x:v>13</x:v>
      </x:c>
      <x:c r="C16" s="30" t="n">
        <x:f>COUNTIFS('Test Execution'!B3:B118,A16,'Test Execution'!G3:G118,"Pass")</x:f>
        <x:v>0</x:v>
      </x:c>
      <x:c r="D16" s="30" t="n">
        <x:f>COUNTIFS('Test Execution'!B3:B118,A16,'Test Execution'!G3:G118,"Fail")</x:f>
        <x:v>0</x:v>
      </x:c>
      <x:c r="E16" s="30" t="n">
        <x:f>COUNTIFS('Test Execution'!B3:B118,A16,'Test Execution'!G3:G118,"Blocked")</x:f>
        <x:v>0</x:v>
      </x:c>
      <x:c r="F16" s="30" t="n">
        <x:f>COUNTIFS('Test Execution'!B3:B118,A16,'Test Execution'!G3:G118,"Not Started")</x:f>
        <x:v>13</x:v>
      </x:c>
      <x:c r="G16" s="34" t="n">
        <x:f>IF(B16=0,0,C16/B16)</x:f>
        <x:v>0</x:v>
      </x:c>
    </x:row>
    <x:row r="17">
      <x:c r="A17" s="30" t="str">
        <x:v>Open PO Line Testing</x:v>
      </x:c>
      <x:c r="B17" s="30" t="n">
        <x:f>COUNTIF('Test Execution'!B3:B118,A17)</x:f>
        <x:v>10</x:v>
      </x:c>
      <x:c r="C17" s="30" t="n">
        <x:f>COUNTIFS('Test Execution'!B3:B118,A17,'Test Execution'!G3:G118,"Pass")</x:f>
        <x:v>0</x:v>
      </x:c>
      <x:c r="D17" s="30" t="n">
        <x:f>COUNTIFS('Test Execution'!B3:B118,A17,'Test Execution'!G3:G118,"Fail")</x:f>
        <x:v>0</x:v>
      </x:c>
      <x:c r="E17" s="30" t="n">
        <x:f>COUNTIFS('Test Execution'!B3:B118,A17,'Test Execution'!G3:G118,"Blocked")</x:f>
        <x:v>0</x:v>
      </x:c>
      <x:c r="F17" s="30" t="n">
        <x:f>COUNTIFS('Test Execution'!B3:B118,A17,'Test Execution'!G3:G118,"Not Started")</x:f>
        <x:v>10</x:v>
      </x:c>
      <x:c r="G17" s="34" t="n">
        <x:f>IF(B17=0,0,C17/B17)</x:f>
        <x:v>0</x:v>
      </x:c>
    </x:row>
    <x:row r="18">
      <x:c r="A18" s="30" t="str">
        <x:v>Overdue PO Testing</x:v>
      </x:c>
      <x:c r="B18" s="30" t="n">
        <x:f>COUNTIF('Test Execution'!B3:B118,A18)</x:f>
        <x:v>10</x:v>
      </x:c>
      <x:c r="C18" s="30" t="n">
        <x:f>COUNTIFS('Test Execution'!B3:B118,A18,'Test Execution'!G3:G118,"Pass")</x:f>
        <x:v>0</x:v>
      </x:c>
      <x:c r="D18" s="30" t="n">
        <x:f>COUNTIFS('Test Execution'!B3:B118,A18,'Test Execution'!G3:G118,"Fail")</x:f>
        <x:v>0</x:v>
      </x:c>
      <x:c r="E18" s="30" t="n">
        <x:f>COUNTIFS('Test Execution'!B3:B118,A18,'Test Execution'!G3:G118,"Blocked")</x:f>
        <x:v>0</x:v>
      </x:c>
      <x:c r="F18" s="30" t="n">
        <x:f>COUNTIFS('Test Execution'!B3:B118,A18,'Test Execution'!G3:G118,"Not Started")</x:f>
        <x:v>10</x:v>
      </x:c>
      <x:c r="G18" s="34" t="n">
        <x:f>IF(B18=0,0,C18/B18)</x:f>
        <x:v>0</x:v>
      </x:c>
    </x:row>
    <x:row r="19">
      <x:c r="A19" s="30" t="str">
        <x:v>Goods Receipt Testing</x:v>
      </x:c>
      <x:c r="B19" s="30" t="n">
        <x:f>COUNTIF('Test Execution'!B3:B118,A19)</x:f>
        <x:v>7</x:v>
      </x:c>
      <x:c r="C19" s="30" t="n">
        <x:f>COUNTIFS('Test Execution'!B3:B118,A19,'Test Execution'!G3:G118,"Pass")</x:f>
        <x:v>0</x:v>
      </x:c>
      <x:c r="D19" s="30" t="n">
        <x:f>COUNTIFS('Test Execution'!B3:B118,A19,'Test Execution'!G3:G118,"Fail")</x:f>
        <x:v>0</x:v>
      </x:c>
      <x:c r="E19" s="30" t="n">
        <x:f>COUNTIFS('Test Execution'!B3:B118,A19,'Test Execution'!G3:G118,"Blocked")</x:f>
        <x:v>0</x:v>
      </x:c>
      <x:c r="F19" s="30" t="n">
        <x:f>COUNTIFS('Test Execution'!B3:B118,A19,'Test Execution'!G3:G118,"Not Started")</x:f>
        <x:v>7</x:v>
      </x:c>
      <x:c r="G19" s="34" t="n">
        <x:f>IF(B19=0,0,C19/B19)</x:f>
        <x:v>0</x:v>
      </x:c>
    </x:row>
    <x:row r="20">
      <x:c r="A20" s="30" t="str">
        <x:v>Invoice / GRIR Testing</x:v>
      </x:c>
      <x:c r="B20" s="30" t="n">
        <x:f>COUNTIF('Test Execution'!B3:B118,A20)</x:f>
        <x:v>10</x:v>
      </x:c>
      <x:c r="C20" s="30" t="n">
        <x:f>COUNTIFS('Test Execution'!B3:B118,A20,'Test Execution'!G3:G118,"Pass")</x:f>
        <x:v>0</x:v>
      </x:c>
      <x:c r="D20" s="30" t="n">
        <x:f>COUNTIFS('Test Execution'!B3:B118,A20,'Test Execution'!G3:G118,"Fail")</x:f>
        <x:v>0</x:v>
      </x:c>
      <x:c r="E20" s="30" t="n">
        <x:f>COUNTIFS('Test Execution'!B3:B118,A20,'Test Execution'!G3:G118,"Blocked")</x:f>
        <x:v>0</x:v>
      </x:c>
      <x:c r="F20" s="30" t="n">
        <x:f>COUNTIFS('Test Execution'!B3:B118,A20,'Test Execution'!G3:G118,"Not Started")</x:f>
        <x:v>10</x:v>
      </x:c>
      <x:c r="G20" s="34" t="n">
        <x:f>IF(B20=0,0,C20/B20)</x:f>
        <x:v>0</x:v>
      </x:c>
    </x:row>
    <x:row r="21">
      <x:c r="A21" s="30" t="str">
        <x:v>Supplier Acknowledgement Testing</x:v>
      </x:c>
      <x:c r="B21" s="30" t="n">
        <x:f>COUNTIF('Test Execution'!B3:B118,A21)</x:f>
        <x:v>6</x:v>
      </x:c>
      <x:c r="C21" s="30" t="n">
        <x:f>COUNTIFS('Test Execution'!B3:B118,A21,'Test Execution'!G3:G118,"Pass")</x:f>
        <x:v>0</x:v>
      </x:c>
      <x:c r="D21" s="30" t="n">
        <x:f>COUNTIFS('Test Execution'!B3:B118,A21,'Test Execution'!G3:G118,"Fail")</x:f>
        <x:v>0</x:v>
      </x:c>
      <x:c r="E21" s="30" t="n">
        <x:f>COUNTIFS('Test Execution'!B3:B118,A21,'Test Execution'!G3:G118,"Blocked")</x:f>
        <x:v>0</x:v>
      </x:c>
      <x:c r="F21" s="30" t="n">
        <x:f>COUNTIFS('Test Execution'!B3:B118,A21,'Test Execution'!G3:G118,"Not Started")</x:f>
        <x:v>6</x:v>
      </x:c>
      <x:c r="G21" s="34" t="n">
        <x:f>IF(B21=0,0,C21/B21)</x:f>
        <x:v>0</x:v>
      </x:c>
    </x:row>
    <x:row r="22">
      <x:c r="A22" s="30" t="str">
        <x:v>Reminder and Email Trigger Testing</x:v>
      </x:c>
      <x:c r="B22" s="30" t="n">
        <x:f>COUNTIF('Test Execution'!B3:B118,A22)</x:f>
        <x:v>16</x:v>
      </x:c>
      <x:c r="C22" s="30" t="n">
        <x:f>COUNTIFS('Test Execution'!B3:B118,A22,'Test Execution'!G3:G118,"Pass")</x:f>
        <x:v>0</x:v>
      </x:c>
      <x:c r="D22" s="30" t="n">
        <x:f>COUNTIFS('Test Execution'!B3:B118,A22,'Test Execution'!G3:G118,"Fail")</x:f>
        <x:v>0</x:v>
      </x:c>
      <x:c r="E22" s="30" t="n">
        <x:f>COUNTIFS('Test Execution'!B3:B118,A22,'Test Execution'!G3:G118,"Blocked")</x:f>
        <x:v>0</x:v>
      </x:c>
      <x:c r="F22" s="30" t="n">
        <x:f>COUNTIFS('Test Execution'!B3:B118,A22,'Test Execution'!G3:G118,"Not Started")</x:f>
        <x:v>16</x:v>
      </x:c>
      <x:c r="G22" s="34" t="n">
        <x:f>IF(B22=0,0,C22/B22)</x:f>
        <x:v>0</x:v>
      </x:c>
    </x:row>
    <x:row r="23">
      <x:c r="A23" s="30" t="str">
        <x:v>Recommendation/Workbench Testing</x:v>
      </x:c>
      <x:c r="B23" s="30" t="n">
        <x:f>COUNTIF('Test Execution'!B3:B118,A23)</x:f>
        <x:v>7</x:v>
      </x:c>
      <x:c r="C23" s="30" t="n">
        <x:f>COUNTIFS('Test Execution'!B3:B118,A23,'Test Execution'!G3:G118,"Pass")</x:f>
        <x:v>0</x:v>
      </x:c>
      <x:c r="D23" s="30" t="n">
        <x:f>COUNTIFS('Test Execution'!B3:B118,A23,'Test Execution'!G3:G118,"Fail")</x:f>
        <x:v>0</x:v>
      </x:c>
      <x:c r="E23" s="30" t="n">
        <x:f>COUNTIFS('Test Execution'!B3:B118,A23,'Test Execution'!G3:G118,"Blocked")</x:f>
        <x:v>0</x:v>
      </x:c>
      <x:c r="F23" s="30" t="n">
        <x:f>COUNTIFS('Test Execution'!B3:B118,A23,'Test Execution'!G3:G118,"Not Started")</x:f>
        <x:v>7</x:v>
      </x:c>
      <x:c r="G23" s="34" t="n">
        <x:f>IF(B23=0,0,C23/B23)</x:f>
        <x:v>0</x:v>
      </x:c>
    </x:row>
    <x:row r="24">
      <x:c r="A24" s="30" t="str">
        <x:v>Drill-Down Testing</x:v>
      </x:c>
      <x:c r="B24" s="30" t="n">
        <x:f>COUNTIF('Test Execution'!B3:B118,A24)</x:f>
        <x:v>9</x:v>
      </x:c>
      <x:c r="C24" s="30" t="n">
        <x:f>COUNTIFS('Test Execution'!B3:B118,A24,'Test Execution'!G3:G118,"Pass")</x:f>
        <x:v>0</x:v>
      </x:c>
      <x:c r="D24" s="30" t="n">
        <x:f>COUNTIFS('Test Execution'!B3:B118,A24,'Test Execution'!G3:G118,"Fail")</x:f>
        <x:v>0</x:v>
      </x:c>
      <x:c r="E24" s="30" t="n">
        <x:f>COUNTIFS('Test Execution'!B3:B118,A24,'Test Execution'!G3:G118,"Blocked")</x:f>
        <x:v>0</x:v>
      </x:c>
      <x:c r="F24" s="30" t="n">
        <x:f>COUNTIFS('Test Execution'!B3:B118,A24,'Test Execution'!G3:G118,"Not Started")</x:f>
        <x:v>9</x:v>
      </x:c>
      <x:c r="G24" s="34" t="n">
        <x:f>IF(B24=0,0,C24/B24)</x:f>
        <x:v>0</x:v>
      </x:c>
    </x:row>
    <x:row r="25">
      <x:c r="A25" s="30" t="str">
        <x:v>Filter &amp; Search Testing</x:v>
      </x:c>
      <x:c r="B25" s="30" t="n">
        <x:f>COUNTIF('Test Execution'!B3:B118,A25)</x:f>
        <x:v>9</x:v>
      </x:c>
      <x:c r="C25" s="30" t="n">
        <x:f>COUNTIFS('Test Execution'!B3:B118,A25,'Test Execution'!G3:G118,"Pass")</x:f>
        <x:v>0</x:v>
      </x:c>
      <x:c r="D25" s="30" t="n">
        <x:f>COUNTIFS('Test Execution'!B3:B118,A25,'Test Execution'!G3:G118,"Fail")</x:f>
        <x:v>0</x:v>
      </x:c>
      <x:c r="E25" s="30" t="n">
        <x:f>COUNTIFS('Test Execution'!B3:B118,A25,'Test Execution'!G3:G118,"Blocked")</x:f>
        <x:v>0</x:v>
      </x:c>
      <x:c r="F25" s="30" t="n">
        <x:f>COUNTIFS('Test Execution'!B3:B118,A25,'Test Execution'!G3:G118,"Not Started")</x:f>
        <x:v>9</x:v>
      </x:c>
      <x:c r="G25" s="34" t="n">
        <x:f>IF(B25=0,0,C25/B25)</x:f>
        <x:v>0</x:v>
      </x:c>
    </x:row>
    <x:row r="26">
      <x:c r="A26" s="30" t="str">
        <x:v>Data Quality Testing</x:v>
      </x:c>
      <x:c r="B26" s="30" t="n">
        <x:f>COUNTIF('Test Execution'!B3:B118,A26)</x:f>
        <x:v>14</x:v>
      </x:c>
      <x:c r="C26" s="30" t="n">
        <x:f>COUNTIFS('Test Execution'!B3:B118,A26,'Test Execution'!G3:G118,"Pass")</x:f>
        <x:v>0</x:v>
      </x:c>
      <x:c r="D26" s="30" t="n">
        <x:f>COUNTIFS('Test Execution'!B3:B118,A26,'Test Execution'!G3:G118,"Fail")</x:f>
        <x:v>0</x:v>
      </x:c>
      <x:c r="E26" s="30" t="n">
        <x:f>COUNTIFS('Test Execution'!B3:B118,A26,'Test Execution'!G3:G118,"Blocked")</x:f>
        <x:v>0</x:v>
      </x:c>
      <x:c r="F26" s="30" t="n">
        <x:f>COUNTIFS('Test Execution'!B3:B118,A26,'Test Execution'!G3:G118,"Not Started")</x:f>
        <x:v>14</x:v>
      </x:c>
      <x:c r="G26" s="34" t="n">
        <x:f>IF(B26=0,0,C26/B26)</x:f>
        <x:v>0</x:v>
      </x:c>
    </x:row>
    <x:row r="27">
      <x:c r="A27" s="30" t="str">
        <x:v>End-to-End Scenarios</x:v>
      </x:c>
      <x:c r="B27" s="30" t="n">
        <x:f>COUNTIF('Test Execution'!B3:B118,A27)</x:f>
        <x:v>5</x:v>
      </x:c>
      <x:c r="C27" s="30" t="n">
        <x:f>COUNTIFS('Test Execution'!B3:B118,A27,'Test Execution'!G3:G118,"Pass")</x:f>
        <x:v>0</x:v>
      </x:c>
      <x:c r="D27" s="30" t="n">
        <x:f>COUNTIFS('Test Execution'!B3:B118,A27,'Test Execution'!G3:G118,"Fail")</x:f>
        <x:v>0</x:v>
      </x:c>
      <x:c r="E27" s="30" t="n">
        <x:f>COUNTIFS('Test Execution'!B3:B118,A27,'Test Execution'!G3:G118,"Blocked")</x:f>
        <x:v>0</x:v>
      </x:c>
      <x:c r="F27" s="30" t="n">
        <x:f>COUNTIFS('Test Execution'!B3:B118,A27,'Test Execution'!G3:G118,"Not Started")</x:f>
        <x:v>5</x:v>
      </x:c>
      <x:c r="G27" s="34" t="n">
        <x:f>IF(B27=0,0,C27/B27)</x:f>
        <x:v>0</x:v>
      </x:c>
    </x:row>
    <x:row r="28">
      <x:c r="A28" s="30"/>
      <x:c r="B28" s="30"/>
      <x:c r="C28" s="30"/>
      <x:c r="D28" s="30"/>
      <x:c r="E28" s="30"/>
      <x:c r="F28" s="30"/>
      <x:c r="G28" s="30"/>
    </x:row>
    <x:row r="29">
      <x:c r="A29" s="30"/>
      <x:c r="B29" s="30"/>
      <x:c r="C29" s="30"/>
      <x:c r="D29" s="30"/>
      <x:c r="E29" s="30"/>
      <x:c r="F29" s="30"/>
      <x:c r="G29" s="30"/>
    </x:row>
    <x:row r="30">
      <x:c r="A30" s="30"/>
      <x:c r="B30" s="30"/>
      <x:c r="C30" s="30"/>
      <x:c r="D30" s="30"/>
      <x:c r="E30" s="30"/>
      <x:c r="F30" s="30"/>
      <x:c r="G30" s="30"/>
    </x:row>
    <x:row r="31">
      <x:c r="A31" s="30"/>
      <x:c r="B31" s="30"/>
      <x:c r="C31" s="30"/>
      <x:c r="D31" s="30"/>
      <x:c r="E31" s="30"/>
      <x:c r="F31" s="30"/>
      <x:c r="G31" s="30"/>
    </x:row>
    <x:row r="32">
      <x:c r="A32" s="30"/>
      <x:c r="B32" s="30"/>
      <x:c r="C32" s="30"/>
      <x:c r="D32" s="30"/>
      <x:c r="E32" s="30"/>
      <x:c r="F32" s="30"/>
      <x:c r="G32" s="30"/>
    </x:row>
    <x:row r="33">
      <x:c r="A33" s="30"/>
      <x:c r="B33" s="30"/>
      <x:c r="C33" s="30"/>
      <x:c r="D33" s="30"/>
      <x:c r="E33" s="30"/>
      <x:c r="F33" s="30"/>
      <x:c r="G33" s="30"/>
    </x:row>
    <x:row r="34">
      <x:c r="A34" s="30"/>
      <x:c r="B34" s="30"/>
      <x:c r="C34" s="30"/>
      <x:c r="D34" s="30"/>
      <x:c r="E34" s="30"/>
      <x:c r="F34" s="30"/>
      <x:c r="G34" s="30"/>
    </x:row>
    <x:row r="35">
      <x:c r="A35" s="30"/>
      <x:c r="B35" s="30"/>
      <x:c r="C35" s="30"/>
      <x:c r="D35" s="30"/>
      <x:c r="E35" s="30"/>
      <x:c r="F35" s="30"/>
      <x:c r="G35" s="30"/>
    </x:row>
    <x:row r="36">
      <x:c r="A36" s="30"/>
      <x:c r="B36" s="30"/>
      <x:c r="C36" s="30"/>
      <x:c r="D36" s="30"/>
      <x:c r="E36" s="30"/>
      <x:c r="F36" s="30"/>
      <x:c r="G36" s="30"/>
    </x:row>
    <x:row r="37">
      <x:c r="A37" s="30"/>
      <x:c r="B37" s="30"/>
      <x:c r="C37" s="30"/>
      <x:c r="D37" s="30"/>
      <x:c r="E37" s="30"/>
      <x:c r="F37" s="30"/>
      <x:c r="G37" s="30"/>
    </x:row>
    <x:row r="38">
      <x:c r="A38" s="30"/>
      <x:c r="B38" s="30"/>
      <x:c r="C38" s="30"/>
      <x:c r="D38" s="30"/>
      <x:c r="E38" s="30"/>
      <x:c r="F38" s="30"/>
      <x:c r="G38" s="30"/>
    </x:row>
    <x:row r="39">
      <x:c r="A39" s="30"/>
      <x:c r="B39" s="30"/>
      <x:c r="C39" s="30"/>
      <x:c r="D39" s="30"/>
      <x:c r="E39" s="30"/>
      <x:c r="F39" s="30"/>
      <x:c r="G39" s="30"/>
    </x:row>
    <x:row r="40">
      <x:c r="A40" s="30"/>
      <x:c r="B40" s="30"/>
      <x:c r="C40" s="30"/>
      <x:c r="D40" s="30"/>
      <x:c r="E40" s="30"/>
      <x:c r="F40" s="30"/>
      <x:c r="G40" s="30"/>
    </x:row>
  </x:sheetData>
  <x:mergeCells>
    <x:mergeCell ref="A1:F1"/>
  </x:mergeCells>
  <x:pageMargins left="0.7" right="0.7" top="0.75" bottom="0.75" header="0.3" footer="0.3"/>
  <x:drawing xmlns:r="http://schemas.openxmlformats.org/officeDocument/2006/relationships" r:id="R109e6aecfa1d4d82"/>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36" hidden="0" customWidth="1"/>
    <x:col min="4" max="4" width="24" hidden="0" customWidth="1"/>
    <x:col min="5" max="5" width="26" hidden="0" customWidth="1"/>
    <x:col min="6" max="6" width="12" hidden="0" customWidth="1"/>
    <x:col min="7" max="7" width="16" hidden="0" customWidth="1"/>
    <x:col min="8" max="8" width="34" hidden="0" customWidth="1"/>
    <x:col min="9" max="9" width="16" hidden="0" customWidth="1"/>
    <x:col min="10" max="10" width="14" hidden="0" customWidth="1"/>
    <x:col min="11" max="11" width="16" hidden="0" customWidth="1"/>
    <x:col min="12" max="12" width="14" hidden="0" customWidth="1"/>
    <x:col min="13" max="13" width="16" hidden="0" customWidth="1"/>
    <x:col min="14" max="14" width="14" hidden="0" customWidth="1"/>
    <x:col min="15" max="15" width="42" hidden="0" customWidth="1"/>
    <x:col min="16" max="16" width="42" hidden="0" customWidth="1"/>
    <x:col min="17" max="17" width="42" hidden="0" customWidth="1"/>
    <x:col min="18" max="18" width="28" hidden="0" customWidth="1"/>
    <x:col min="19" max="19" width="34" hidden="0" customWidth="1"/>
    <x:col min="20" max="20" width="34" hidden="0" customWidth="1"/>
    <x:col min="21" max="21" width="30" hidden="0" customWidth="1"/>
    <x:col min="22" max="22" width="30" hidden="0" customWidth="1"/>
  </x:cols>
  <x:sheetData>
    <x:row r="1">
      <x:c r="A1" s="5" t="str">
        <x:v>Manual Business Testing Tracker - Supplier Commitment Control Center</x:v>
      </x:c>
      <x:c r="B1" s="5"/>
      <x:c r="C1" s="5"/>
      <x:c r="D1" s="5"/>
      <x:c r="E1" s="5"/>
      <x:c r="F1" s="5"/>
      <x:c r="G1" s="5"/>
      <x:c r="H1" s="5"/>
      <x:c r="I1" s="5"/>
      <x:c r="J1" s="5"/>
      <x:c r="K1" s="5"/>
      <x:c r="L1" s="5"/>
      <x:c r="M1" s="5"/>
      <x:c r="N1" s="5"/>
      <x:c r="O1" s="5"/>
      <x:c r="P1" s="5"/>
      <x:c r="Q1" s="5"/>
      <x:c r="R1" s="5"/>
      <x:c r="S1" s="5"/>
      <x:c r="T1" s="5"/>
      <x:c r="U1" s="5"/>
      <x:c r="V1" s="5"/>
    </x:row>
    <x:row r="2">
      <x:c r="A2" s="14" t="str">
        <x:v>Test Case ID</x:v>
      </x:c>
      <x:c r="B2" s="14" t="str">
        <x:v>Test Area</x:v>
      </x:c>
      <x:c r="C2" s="14" t="str">
        <x:v>Test Objective</x:v>
      </x:c>
      <x:c r="D2" s="14" t="str">
        <x:v>Starting Page</x:v>
      </x:c>
      <x:c r="E2" s="14" t="str">
        <x:v>Test PO / Supplier / Plant</x:v>
      </x:c>
      <x:c r="F2" s="14" t="str">
        <x:v>Priority</x:v>
      </x:c>
      <x:c r="G2" s="14" t="str">
        <x:v>Execution Status</x:v>
      </x:c>
      <x:c r="H2" s="14" t="str">
        <x:v>Actual Result / Evidence</x:v>
      </x:c>
      <x:c r="I2" s="14" t="str">
        <x:v>Bug ID(s)</x:v>
      </x:c>
      <x:c r="J2" s="14" t="str">
        <x:v>Bug Severity</x:v>
      </x:c>
      <x:c r="K2" s="14" t="str">
        <x:v>Owner</x:v>
      </x:c>
      <x:c r="L2" s="14" t="str">
        <x:v>Test Date</x:v>
      </x:c>
      <x:c r="M2" s="14" t="str">
        <x:v>Retest Status</x:v>
      </x:c>
      <x:c r="N2" s="14" t="str">
        <x:v>Retest Date</x:v>
      </x:c>
      <x:c r="O2" s="14" t="str">
        <x:v>Steps for me to perform</x:v>
      </x:c>
      <x:c r="P2" s="14" t="str">
        <x:v>Expected result in app</x:v>
      </x:c>
      <x:c r="Q2" s="14" t="str">
        <x:v>Manual validation method</x:v>
      </x:c>
      <x:c r="R2" s="14" t="str">
        <x:v>Source fields to check</x:v>
      </x:c>
      <x:c r="S2" s="14" t="str">
        <x:v>PASS criteria</x:v>
      </x:c>
      <x:c r="T2" s="14" t="str">
        <x:v>FAIL criteria</x:v>
      </x:c>
      <x:c r="U2" s="14" t="str">
        <x:v>Pre-condition</x:v>
      </x:c>
      <x:c r="V2" s="14" t="str">
        <x:v>Notes</x:v>
      </x:c>
    </x:row>
    <x:row r="3" ht="48" customHeight="1">
      <x:c r="A3" s="36" t="str">
        <x:v>TC-KPI-01</x:v>
      </x:c>
      <x:c r="B3" s="36" t="str">
        <x:v>Dashboard KPI Validation</x:v>
      </x:c>
      <x:c r="C3" s="36" t="str">
        <x:v>Verify the total PO count matches the unique POs in the source file.</x:v>
      </x:c>
      <x:c r="D3" s="36" t="str">
        <x:v>Dashboard / Executive Overview</x:v>
      </x:c>
      <x:c r="E3" s="36" t="str">
        <x:v>All</x:v>
      </x:c>
      <x:c r="F3" s="36" t="str">
        <x:v>High</x:v>
      </x:c>
      <x:c r="G3" s="36" t="str">
        <x:v>Not Started</x:v>
      </x:c>
      <x:c r="H3" s="36" t="str"/>
      <x:c r="I3" s="36" t="str"/>
      <x:c r="J3" s="36" t="str"/>
      <x:c r="K3" s="36" t="str"/>
      <x:c r="L3" s="36" t="str"/>
      <x:c r="M3" s="36" t="str">
        <x:v>Not Retested</x:v>
      </x:c>
      <x:c r="N3" s="36" t="str"/>
      <x:c r="O3" s="36" t="str">
        <x:v>1. Navigate to the Dashboard.
2. Read the value in the "Total Purchase Orders" card.</x:v>
      </x:c>
      <x:c r="P3" s="36" t="str">
        <x:v>Displays exactly 30.</x:v>
      </x:c>
      <x:c r="Q3" s="36" t="str">
        <x:v>Count the distinct values of the po_number field in the mock database.</x:v>
      </x:c>
      <x:c r="R3" s="36" t="str">
        <x:v>po_number</x:v>
      </x:c>
      <x:c r="S3" s="36" t="str">
        <x:v>Displayed count is exactly 30.</x:v>
      </x:c>
      <x:c r="T3" s="36" t="str">
        <x:v>Displayed count is anything other than 30.</x:v>
      </x:c>
      <x:c r="U3" s="36" t="str">
        <x:v>Demo data reset successfully.</x:v>
      </x:c>
      <x:c r="V3" s="36" t="str">
        <x:v>Distinct count is required (PO 4500002021 has two lines but counts as one PO).</x:v>
      </x:c>
    </x:row>
    <x:row r="4" ht="48" customHeight="1">
      <x:c r="A4" s="36" t="str">
        <x:v>TC-KPI-02</x:v>
      </x:c>
      <x:c r="B4" s="36" t="str">
        <x:v>Dashboard KPI Validation</x:v>
      </x:c>
      <x:c r="C4" s="36" t="str">
        <x:v>Verify the total count of PO lines.</x:v>
      </x:c>
      <x:c r="D4" s="36" t="str">
        <x:v>Dashboard / Executive Overview</x:v>
      </x:c>
      <x:c r="E4" s="36" t="str">
        <x:v>All</x:v>
      </x:c>
      <x:c r="F4" s="36" t="str">
        <x:v>High</x:v>
      </x:c>
      <x:c r="G4" s="36" t="str">
        <x:v>Not Started</x:v>
      </x:c>
      <x:c r="H4" s="36" t="str"/>
      <x:c r="I4" s="36" t="str"/>
      <x:c r="J4" s="36" t="str"/>
      <x:c r="K4" s="36" t="str"/>
      <x:c r="L4" s="36" t="str"/>
      <x:c r="M4" s="36" t="str">
        <x:v>Not Retested</x:v>
      </x:c>
      <x:c r="N4" s="36" t="str"/>
      <x:c r="O4" s="36" t="str">
        <x:v>1. Read the "Total PO Lines" value from the dashboard header or summary area.</x:v>
      </x:c>
      <x:c r="P4" s="36" t="str">
        <x:v>Displays exactly 31.</x:v>
      </x:c>
      <x:c r="Q4" s="36" t="str">
        <x:v>Count the total number of objects in the source JSON array.</x:v>
      </x:c>
      <x:c r="R4" s="36" t="str">
        <x:v>Array length.</x:v>
      </x:c>
      <x:c r="S4" s="36" t="str">
        <x:v>Count is exactly 31.</x:v>
      </x:c>
      <x:c r="T4" s="36" t="str">
        <x:v>Count is not 31.</x:v>
      </x:c>
      <x:c r="U4" s="36" t="str">
        <x:v>Demo data reset successfully.</x:v>
      </x:c>
      <x:c r="V4" s="36" t="str">
        <x:v>None.</x:v>
      </x:c>
    </x:row>
    <x:row r="5" ht="48" customHeight="1">
      <x:c r="A5" s="36" t="str">
        <x:v>TC-KPI-03</x:v>
      </x:c>
      <x:c r="B5" s="36" t="str">
        <x:v>Dashboard KPI Validation</x:v>
      </x:c>
      <x:c r="C5" s="36" t="str">
        <x:v>Verify open PO lines match filtering rules.</x:v>
      </x:c>
      <x:c r="D5" s="36" t="str">
        <x:v>Dashboard</x:v>
      </x:c>
      <x:c r="E5" s="36" t="str">
        <x:v>All</x:v>
      </x:c>
      <x:c r="F5" s="36" t="str">
        <x:v>Critical</x:v>
      </x:c>
      <x:c r="G5" s="36" t="str">
        <x:v>Not Started</x:v>
      </x:c>
      <x:c r="H5" s="36" t="str"/>
      <x:c r="I5" s="36" t="str"/>
      <x:c r="J5" s="36" t="str"/>
      <x:c r="K5" s="36" t="str"/>
      <x:c r="L5" s="36" t="str"/>
      <x:c r="M5" s="36" t="str">
        <x:v>Not Retested</x:v>
      </x:c>
      <x:c r="N5" s="36" t="str"/>
      <x:c r="O5" s="36" t="str">
        <x:v>Read "Open PO Lines" card value.</x:v>
      </x:c>
      <x:c r="P5" s="36" t="str">
        <x:v>Displays exactly 22.</x:v>
      </x:c>
      <x:c r="Q5" s="36" t="str">
        <x:v>Count lines where deletion_completion_indicator == ACTIVE_OPEN AND open_quantity &gt; 0.</x:v>
      </x:c>
      <x:c r="R5" s="36" t="str">
        <x:v>deletion_completion_indicator, open_quantity</x:v>
      </x:c>
      <x:c r="S5" s="36" t="str">
        <x:v>Metric matches 22.</x:v>
      </x:c>
      <x:c r="T5" s="36" t="str">
        <x:v>Metric displays closed, deleted, or negative quantity lines.</x:v>
      </x:c>
      <x:c r="U5" s="36" t="str">
        <x:v>Demo data reset.</x:v>
      </x:c>
      <x:c r="V5" s="36" t="str">
        <x:v>Refer to the Drill-Down Section for exclusions.</x:v>
      </x:c>
    </x:row>
    <x:row r="6" ht="48" customHeight="1">
      <x:c r="A6" s="36" t="str">
        <x:v>TC-KPI-04</x:v>
      </x:c>
      <x:c r="B6" s="36" t="str">
        <x:v>Dashboard KPI Validation</x:v>
      </x:c>
      <x:c r="C6" s="36" t="str">
        <x:v>Verify the total financial value of open PO lines.</x:v>
      </x:c>
      <x:c r="D6" s="36" t="str">
        <x:v>Dashboard</x:v>
      </x:c>
      <x:c r="E6" s="36" t="str">
        <x:v>All</x:v>
      </x:c>
      <x:c r="F6" s="36" t="str">
        <x:v>High</x:v>
      </x:c>
      <x:c r="G6" s="36" t="str">
        <x:v>Not Started</x:v>
      </x:c>
      <x:c r="H6" s="36" t="str"/>
      <x:c r="I6" s="36" t="str"/>
      <x:c r="J6" s="36" t="str"/>
      <x:c r="K6" s="36" t="str"/>
      <x:c r="L6" s="36" t="str"/>
      <x:c r="M6" s="36" t="str">
        <x:v>Not Retested</x:v>
      </x:c>
      <x:c r="N6" s="36" t="str"/>
      <x:c r="O6" s="36" t="str">
        <x:v>Read "Open PO Value" card.</x:v>
      </x:c>
      <x:c r="P6" s="36" t="str">
        <x:v>Displays $399,050 (assuming USD/EUR conversion).</x:v>
      </x:c>
      <x:c r="Q6" s="36" t="str">
        <x:v>Sum open_value of the 22 active open PO lines.</x:v>
      </x:c>
      <x:c r="R6" s="36" t="str">
        <x:v>open_value, currency, open_quantity</x:v>
      </x:c>
      <x:c r="S6" s="36" t="str">
        <x:v>Match within rounding tolerance.</x:v>
      </x:c>
      <x:c r="T6" s="36" t="str">
        <x:v>Open values of deleted/closed lines are included.</x:v>
      </x:c>
      <x:c r="U6" s="36" t="str">
        <x:v>Demo data reset.</x:v>
      </x:c>
      <x:c r="V6" s="36" t="str">
        <x:v>None.</x:v>
      </x:c>
    </x:row>
    <x:row r="7" ht="48" customHeight="1">
      <x:c r="A7" s="36" t="str">
        <x:v>TC-KPI-05</x:v>
      </x:c>
      <x:c r="B7" s="36" t="str">
        <x:v>Dashboard KPI Validation</x:v>
      </x:c>
      <x:c r="C7" s="36" t="str">
        <x:v>Verify the count of open PO lines with passed delivery dates.</x:v>
      </x:c>
      <x:c r="D7" s="36" t="str">
        <x:v>Dashboard</x:v>
      </x:c>
      <x:c r="E7" s="36" t="str">
        <x:v>All</x:v>
      </x:c>
      <x:c r="F7" s="36" t="str">
        <x:v>Critical</x:v>
      </x:c>
      <x:c r="G7" s="36" t="str">
        <x:v>Not Started</x:v>
      </x:c>
      <x:c r="H7" s="36" t="str"/>
      <x:c r="I7" s="36" t="str"/>
      <x:c r="J7" s="36" t="str"/>
      <x:c r="K7" s="36" t="str"/>
      <x:c r="L7" s="36" t="str"/>
      <x:c r="M7" s="36" t="str">
        <x:v>Not Retested</x:v>
      </x:c>
      <x:c r="N7" s="36" t="str"/>
      <x:c r="O7" s="36" t="str">
        <x:v>Read "Overdue PO Lines" card.</x:v>
      </x:c>
      <x:c r="P7" s="36" t="str">
        <x:v>Displays exactly 8.</x:v>
      </x:c>
      <x:c r="Q7" s="36" t="str">
        <x:v>Count active open lines where delivery_date &lt; 2026-06-10.</x:v>
      </x:c>
      <x:c r="R7" s="36" t="str">
        <x:v>delivery_date, open_quantity, deletion_completion_indicator</x:v>
      </x:c>
      <x:c r="S7" s="36" t="str">
        <x:v>Count is 8.</x:v>
      </x:c>
      <x:c r="T7" s="36" t="str">
        <x:v>Count includes future lines or closed/deleted lines.</x:v>
      </x:c>
      <x:c r="U7" s="36" t="str">
        <x:v>System date is June 10, 2026.</x:v>
      </x:c>
      <x:c r="V7" s="36" t="str">
        <x:v>Exclude invalid dates (e.g. PO 4500002018).</x:v>
      </x:c>
    </x:row>
    <x:row r="8" ht="48" customHeight="1">
      <x:c r="A8" s="36" t="str">
        <x:v>TC-KPI-06</x:v>
      </x:c>
      <x:c r="B8" s="36" t="str">
        <x:v>Dashboard KPI Validation</x:v>
      </x:c>
      <x:c r="C8" s="36" t="str">
        <x:v>Verify the value of overdue lines.</x:v>
      </x:c>
      <x:c r="D8" s="36" t="str">
        <x:v>Dashboard</x:v>
      </x:c>
      <x:c r="E8" s="36" t="str">
        <x:v>All</x:v>
      </x:c>
      <x:c r="F8" s="36" t="str">
        <x:v>High</x:v>
      </x:c>
      <x:c r="G8" s="36" t="str">
        <x:v>Not Started</x:v>
      </x:c>
      <x:c r="H8" s="36" t="str"/>
      <x:c r="I8" s="36" t="str"/>
      <x:c r="J8" s="36" t="str"/>
      <x:c r="K8" s="36" t="str"/>
      <x:c r="L8" s="36" t="str"/>
      <x:c r="M8" s="36" t="str">
        <x:v>Not Retested</x:v>
      </x:c>
      <x:c r="N8" s="36" t="str"/>
      <x:c r="O8" s="36" t="str">
        <x:v>Read "Overdue PO Value" card.</x:v>
      </x:c>
      <x:c r="P8" s="36" t="str">
        <x:v>Displays $152,100.</x:v>
      </x:c>
      <x:c r="Q8" s="36" t="str">
        <x:v>Sum open_value of the 8 overdue lines.</x:v>
      </x:c>
      <x:c r="R8" s="36" t="str">
        <x:v>open_value, delivery_date, deletion_completion_indicator</x:v>
      </x:c>
      <x:c r="S8" s="36" t="str">
        <x:v>Match within rounding tolerance.</x:v>
      </x:c>
      <x:c r="T8" s="36" t="str">
        <x:v>Incorrect sum.</x:v>
      </x:c>
      <x:c r="U8" s="36" t="str">
        <x:v>Date set to June 10, 2026.</x:v>
      </x:c>
      <x:c r="V8" s="36" t="str">
        <x:v>Ensure EUR-to-USD conversion is active for service PO 4500002020.</x:v>
      </x:c>
    </x:row>
    <x:row r="9" ht="48" customHeight="1">
      <x:c r="A9" s="36" t="str">
        <x:v>TC-KPI-07</x:v>
      </x:c>
      <x:c r="B9" s="36" t="str">
        <x:v>Dashboard KPI Validation</x:v>
      </x:c>
      <x:c r="C9" s="36" t="str">
        <x:v>Verify counts of missing acknowledgements.</x:v>
      </x:c>
      <x:c r="D9" s="36" t="str">
        <x:v>Dashboard</x:v>
      </x:c>
      <x:c r="E9" s="36" t="str">
        <x:v>All</x:v>
      </x:c>
      <x:c r="F9" s="36" t="str">
        <x:v>High</x:v>
      </x:c>
      <x:c r="G9" s="36" t="str">
        <x:v>Not Started</x:v>
      </x:c>
      <x:c r="H9" s="36" t="str"/>
      <x:c r="I9" s="36" t="str"/>
      <x:c r="J9" s="36" t="str"/>
      <x:c r="K9" s="36" t="str"/>
      <x:c r="L9" s="36" t="str"/>
      <x:c r="M9" s="36" t="str">
        <x:v>Not Retested</x:v>
      </x:c>
      <x:c r="N9" s="36" t="str"/>
      <x:c r="O9" s="36" t="str">
        <x:v>Read "Pending Acks" card.</x:v>
      </x:c>
      <x:c r="P9" s="36" t="str">
        <x:v>Displays exactly 8.</x:v>
      </x:c>
      <x:c r="Q9" s="36" t="str">
        <x:v>Count lines where acknowledgement_required == Y and acknowledgement_date == null and deletion_completion_indicator == ACTIVE_OPEN.</x:v>
      </x:c>
      <x:c r="R9" s="36" t="str">
        <x:v>acknowledgement_required, acknowledgement_date, deletion_completion_indicator</x:v>
      </x:c>
      <x:c r="S9" s="36" t="str">
        <x:v>Count is 8.</x:v>
      </x:c>
      <x:c r="T9" s="36" t="str">
        <x:v>Includes lines where ack is not required or already received.</x:v>
      </x:c>
      <x:c r="U9" s="36" t="str">
        <x:v>Demo data reset.</x:v>
      </x:c>
      <x:c r="V9" s="36" t="str">
        <x:v>None.</x:v>
      </x:c>
    </x:row>
    <x:row r="10" ht="48" customHeight="1">
      <x:c r="A10" s="36" t="str">
        <x:v>TC-KPI-08</x:v>
      </x:c>
      <x:c r="B10" s="36" t="str">
        <x:v>Dashboard KPI Validation</x:v>
      </x:c>
      <x:c r="C10" s="36" t="str">
        <x:v>Verify count of pending goods receipts.</x:v>
      </x:c>
      <x:c r="D10" s="36" t="str">
        <x:v>Dashboard</x:v>
      </x:c>
      <x:c r="E10" s="36" t="str">
        <x:v>All</x:v>
      </x:c>
      <x:c r="F10" s="36" t="str">
        <x:v>High</x:v>
      </x:c>
      <x:c r="G10" s="36" t="str">
        <x:v>Not Started</x:v>
      </x:c>
      <x:c r="H10" s="36" t="str"/>
      <x:c r="I10" s="36" t="str"/>
      <x:c r="J10" s="36" t="str"/>
      <x:c r="K10" s="36" t="str"/>
      <x:c r="L10" s="36" t="str"/>
      <x:c r="M10" s="36" t="str">
        <x:v>Not Retested</x:v>
      </x:c>
      <x:c r="N10" s="36" t="str"/>
      <x:c r="O10" s="36" t="str">
        <x:v>Read "Pending GR" card.</x:v>
      </x:c>
      <x:c r="P10" s="36" t="str">
        <x:v>Displays exactly 8.</x:v>
      </x:c>
      <x:c r="Q10" s="36" t="str">
        <x:v>Count open lines where gr_status == PENDING and delivery_date &lt;= 2026-06-10 and deletion_completion_indicator == ACTIVE_OPEN.</x:v>
      </x:c>
      <x:c r="R10" s="36" t="str">
        <x:v>gr_status, delivery_date, deletion_completion_indicator</x:v>
      </x:c>
      <x:c r="S10" s="36" t="str">
        <x:v>Count is 8.</x:v>
      </x:c>
      <x:c r="T10" s="36" t="str">
        <x:v>Count is not 8.</x:v>
      </x:c>
      <x:c r="U10" s="36" t="str">
        <x:v>Demo data reset.</x:v>
      </x:c>
      <x:c r="V10" s="36" t="str">
        <x:v>None.</x:v>
      </x:c>
    </x:row>
    <x:row r="11" ht="48" customHeight="1">
      <x:c r="A11" s="36" t="str">
        <x:v>TC-KPI-09</x:v>
      </x:c>
      <x:c r="B11" s="36" t="str">
        <x:v>Dashboard KPI Validation</x:v>
      </x:c>
      <x:c r="C11" s="36" t="str">
        <x:v>Verify the count of blocked invoices.</x:v>
      </x:c>
      <x:c r="D11" s="36" t="str">
        <x:v>Dashboard</x:v>
      </x:c>
      <x:c r="E11" s="36" t="str">
        <x:v>All</x:v>
      </x:c>
      <x:c r="F11" s="36" t="str">
        <x:v>High</x:v>
      </x:c>
      <x:c r="G11" s="36" t="str">
        <x:v>Not Started</x:v>
      </x:c>
      <x:c r="H11" s="36" t="str"/>
      <x:c r="I11" s="36" t="str"/>
      <x:c r="J11" s="36" t="str"/>
      <x:c r="K11" s="36" t="str"/>
      <x:c r="L11" s="36" t="str"/>
      <x:c r="M11" s="36" t="str">
        <x:v>Not Retested</x:v>
      </x:c>
      <x:c r="N11" s="36" t="str"/>
      <x:c r="O11" s="36" t="str">
        <x:v>Read "Blocked Invoices" card.</x:v>
      </x:c>
      <x:c r="P11" s="36" t="str">
        <x:v>Displays exactly 4.</x:v>
      </x:c>
      <x:c r="Q11" s="36" t="str">
        <x:v>Count lines where invoice_blocked_flag == Y.</x:v>
      </x:c>
      <x:c r="R11" s="36" t="str">
        <x:v>invoice_blocked_flag</x:v>
      </x:c>
      <x:c r="S11" s="36" t="str">
        <x:v>Count is 4.</x:v>
      </x:c>
      <x:c r="T11" s="36" t="str">
        <x:v>Count is not 4.</x:v>
      </x:c>
      <x:c r="U11" s="36" t="str">
        <x:v>Demo data reset.</x:v>
      </x:c>
      <x:c r="V11" s="36" t="str">
        <x:v>Blocked lines are: 4500002012, 4500002014, 4500002025, 4500002028.</x:v>
      </x:c>
    </x:row>
    <x:row r="12" ht="48" customHeight="1">
      <x:c r="A12" s="36" t="str">
        <x:v>TC-KPI-10</x:v>
      </x:c>
      <x:c r="B12" s="36" t="str">
        <x:v>Dashboard KPI Validation</x:v>
      </x:c>
      <x:c r="C12" s="36" t="str">
        <x:v>Verify the count of high-risk POs.</x:v>
      </x:c>
      <x:c r="D12" s="36" t="str">
        <x:v>Dashboard</x:v>
      </x:c>
      <x:c r="E12" s="36" t="str">
        <x:v>All</x:v>
      </x:c>
      <x:c r="F12" s="36" t="str">
        <x:v>High</x:v>
      </x:c>
      <x:c r="G12" s="36" t="str">
        <x:v>Not Started</x:v>
      </x:c>
      <x:c r="H12" s="36" t="str"/>
      <x:c r="I12" s="36" t="str"/>
      <x:c r="J12" s="36" t="str"/>
      <x:c r="K12" s="36" t="str"/>
      <x:c r="L12" s="36" t="str"/>
      <x:c r="M12" s="36" t="str">
        <x:v>Not Retested</x:v>
      </x:c>
      <x:c r="N12" s="36" t="str"/>
      <x:c r="O12" s="36" t="str">
        <x:v>Read "High Risk Orders" card.</x:v>
      </x:c>
      <x:c r="P12" s="36" t="str">
        <x:v>Displays exactly 12.</x:v>
      </x:c>
      <x:c r="Q12" s="36" t="str">
        <x:v>Count lines where risk_category is HIGH or CRITICAL AND deletion_completion_indicator == ACTIVE_OPEN.</x:v>
      </x:c>
      <x:c r="R12" s="36" t="str">
        <x:v>risk_category, deletion_completion_indicator</x:v>
      </x:c>
      <x:c r="S12" s="36" t="str">
        <x:v>Count is 12.</x:v>
      </x:c>
      <x:c r="T12" s="36" t="str">
        <x:v>Count includes deleted risk lines (e.g. 4500002027).</x:v>
      </x:c>
      <x:c r="U12" s="36" t="str">
        <x:v>Demo data reset.</x:v>
      </x:c>
      <x:c r="V12" s="36" t="str">
        <x:v>None.</x:v>
      </x:c>
    </x:row>
    <x:row r="13" ht="48" customHeight="1">
      <x:c r="A13" s="36" t="str">
        <x:v>TC-KPI-11</x:v>
      </x:c>
      <x:c r="B13" s="36" t="str">
        <x:v>Dashboard KPI Validation</x:v>
      </x:c>
      <x:c r="C13" s="36" t="str">
        <x:v>Reconcile exception counts by supplier.</x:v>
      </x:c>
      <x:c r="D13" s="36" t="str">
        <x:v>Supplier Analytics</x:v>
      </x:c>
      <x:c r="E13" s="36" t="str">
        <x:v>Sterling Electronics (VEND-001)</x:v>
      </x:c>
      <x:c r="F13" s="36" t="str">
        <x:v>Medium</x:v>
      </x:c>
      <x:c r="G13" s="36" t="str">
        <x:v>Not Started</x:v>
      </x:c>
      <x:c r="H13" s="36" t="str"/>
      <x:c r="I13" s="36" t="str"/>
      <x:c r="J13" s="36" t="str"/>
      <x:c r="K13" s="36" t="str"/>
      <x:c r="L13" s="36" t="str"/>
      <x:c r="M13" s="36" t="str">
        <x:v>Not Retested</x:v>
      </x:c>
      <x:c r="N13" s="36" t="str"/>
      <x:c r="O13" s="36" t="str">
        <x:v>1. Navigate to Supplier Analytics.
2. Click on "Sterling Electronics".
3. Read exception count indicator.</x:v>
      </x:c>
      <x:c r="P13" s="36" t="str">
        <x:v>Shows exceptions matching Sterling.</x:v>
      </x:c>
      <x:c r="Q13" s="36" t="str">
        <x:v>Filter mock data for supplier == "Sterling Electronics" AND exception_reason != "None".</x:v>
      </x:c>
      <x:c r="R13" s="36" t="str">
        <x:v>supplier, exception_reason</x:v>
      </x:c>
      <x:c r="S13" s="36" t="str">
        <x:v>Counts reconcile.</x:v>
      </x:c>
      <x:c r="T13" s="36" t="str">
        <x:v>Count is wrong.</x:v>
      </x:c>
      <x:c r="U13" s="36" t="str">
        <x:v>Demo data reset.</x:v>
      </x:c>
      <x:c r="V13" s="36" t="str">
        <x:v>None.</x:v>
      </x:c>
    </x:row>
    <x:row r="14" ht="48" customHeight="1">
      <x:c r="A14" s="36" t="str">
        <x:v>TC-KPI-12</x:v>
      </x:c>
      <x:c r="B14" s="36" t="str">
        <x:v>Dashboard KPI Validation</x:v>
      </x:c>
      <x:c r="C14" s="36" t="str">
        <x:v>Reconcile exceptions by buyer.</x:v>
      </x:c>
      <x:c r="D14" s="36" t="str">
        <x:v>Dashboard</x:v>
      </x:c>
      <x:c r="E14" s="36" t="str">
        <x:v>Alex Buyer (BUY-01)</x:v>
      </x:c>
      <x:c r="F14" s="36" t="str">
        <x:v>Medium</x:v>
      </x:c>
      <x:c r="G14" s="36" t="str">
        <x:v>Not Started</x:v>
      </x:c>
      <x:c r="H14" s="36" t="str"/>
      <x:c r="I14" s="36" t="str"/>
      <x:c r="J14" s="36" t="str"/>
      <x:c r="K14" s="36" t="str"/>
      <x:c r="L14" s="36" t="str"/>
      <x:c r="M14" s="36" t="str">
        <x:v>Not Retested</x:v>
      </x:c>
      <x:c r="N14" s="36" t="str"/>
      <x:c r="O14" s="36" t="str">
        <x:v>View Buyer exceptions section or chart.</x:v>
      </x:c>
      <x:c r="P14" s="36" t="str">
        <x:v>Shows 15 exceptions for Alex Buyer.</x:v>
      </x:c>
      <x:c r="Q14" s="36" t="str">
        <x:v>Filter mock data for buyer == "Alex Buyer (BUY-01)" AND exception_reason != "None" AND deletion_completion_indicator == ACTIVE_OPEN.</x:v>
      </x:c>
      <x:c r="R14" s="36" t="str">
        <x:v>buyer, exception_reason, deletion_completion_indicator</x:v>
      </x:c>
      <x:c r="S14" s="36" t="str">
        <x:v>Count is 15.</x:v>
      </x:c>
      <x:c r="T14" s="36" t="str">
        <x:v>Mismatch.</x:v>
      </x:c>
      <x:c r="U14" s="36" t="str">
        <x:v>Demo data reset.</x:v>
      </x:c>
      <x:c r="V14" s="36" t="str">
        <x:v>Exclude deleted lines.</x:v>
      </x:c>
    </x:row>
    <x:row r="15" ht="48" customHeight="1">
      <x:c r="A15" s="36" t="str">
        <x:v>TC-KPI-13</x:v>
      </x:c>
      <x:c r="B15" s="36" t="str">
        <x:v>Dashboard KPI Validation</x:v>
      </x:c>
      <x:c r="C15" s="36" t="str">
        <x:v>Reconcile exceptions by plant.</x:v>
      </x:c>
      <x:c r="D15" s="36" t="str">
        <x:v>Dashboard</x:v>
      </x:c>
      <x:c r="E15" s="36" t="str">
        <x:v>Plant PL01</x:v>
      </x:c>
      <x:c r="F15" s="36" t="str">
        <x:v>Medium</x:v>
      </x:c>
      <x:c r="G15" s="36" t="str">
        <x:v>Not Started</x:v>
      </x:c>
      <x:c r="H15" s="36" t="str"/>
      <x:c r="I15" s="36" t="str"/>
      <x:c r="J15" s="36" t="str"/>
      <x:c r="K15" s="36" t="str"/>
      <x:c r="L15" s="36" t="str"/>
      <x:c r="M15" s="36" t="str">
        <x:v>Not Retested</x:v>
      </x:c>
      <x:c r="N15" s="36" t="str"/>
      <x:c r="O15" s="36" t="str">
        <x:v>View Plant exceptions section or chart.</x:v>
      </x:c>
      <x:c r="P15" s="36" t="str">
        <x:v>Shows 16 exceptions for Plant PL01.</x:v>
      </x:c>
      <x:c r="Q15" s="36" t="str">
        <x:v>Filter mock data for plant == "PL01" AND exception_reason != "None" AND deletion_completion_indicator == ACTIVE_OPEN.</x:v>
      </x:c>
      <x:c r="R15" s="36" t="str">
        <x:v>plant, exception_reason, deletion_completion_indicator</x:v>
      </x:c>
      <x:c r="S15" s="36" t="str">
        <x:v>Count is 16.</x:v>
      </x:c>
      <x:c r="T15" s="36" t="str">
        <x:v>Mismatch.</x:v>
      </x:c>
      <x:c r="U15" s="36" t="str">
        <x:v>Demo data reset.</x:v>
      </x:c>
      <x:c r="V15" s="36" t="str">
        <x:v>None.</x:v>
      </x:c>
    </x:row>
    <x:row r="16" ht="48" customHeight="1">
      <x:c r="A16" s="36" t="str">
        <x:v>TC-OP-01</x:v>
      </x:c>
      <x:c r="B16" s="36" t="str">
        <x:v>Open PO Line Testing</x:v>
      </x:c>
      <x:c r="C16" s="36" t="str">
        <x:v>Validate that a fully open PO line is displayed correctly.</x:v>
      </x:c>
      <x:c r="D16" s="36" t="str">
        <x:v>Search / Open PO view</x:v>
      </x:c>
      <x:c r="E16" s="36" t="str">
        <x:v>PO 4500002001</x:v>
      </x:c>
      <x:c r="F16" s="36" t="str">
        <x:v>High</x:v>
      </x:c>
      <x:c r="G16" s="36" t="str">
        <x:v>Not Started</x:v>
      </x:c>
      <x:c r="H16" s="36" t="str"/>
      <x:c r="I16" s="36" t="str"/>
      <x:c r="J16" s="36" t="str"/>
      <x:c r="K16" s="36" t="str"/>
      <x:c r="L16" s="36" t="str"/>
      <x:c r="M16" s="36" t="str">
        <x:v>Not Retested</x:v>
      </x:c>
      <x:c r="N16" s="36" t="str"/>
      <x:c r="O16" s="36" t="str">
        <x:v>Search for PO 4500002001 and open its details.</x:v>
      </x:c>
      <x:c r="P16" s="36" t="str">
        <x:v>Ordered Qty = 100
- Received Qty = 0
- Open Qty = 100
- Open Value = $1,500.00
- Status = OPEN</x:v>
      </x:c>
      <x:c r="Q16" s="36" t="str">
        <x:v>Verify: 100 - 0 = 100 open qty, and 100  $15 = $1,500 open value.</x:v>
      </x:c>
      <x:c r="R16" s="36" t="str">
        <x:v>ordered_quantity, received_quantity, unit_price</x:v>
      </x:c>
      <x:c r="S16" s="36" t="str">
        <x:v>All values match mock data fields exactly.</x:v>
      </x:c>
      <x:c r="T16" s="36" t="str">
        <x:v>Discrepancy in quantities or values.</x:v>
      </x:c>
      <x:c r="U16" s="36" t="str">
        <x:v>Demo data reset.</x:v>
      </x:c>
      <x:c r="V16" s="36" t="str">
        <x:v>None.</x:v>
      </x:c>
    </x:row>
    <x:row r="17" ht="48" customHeight="1">
      <x:c r="A17" s="36" t="str">
        <x:v>TC-OP-02</x:v>
      </x:c>
      <x:c r="B17" s="36" t="str">
        <x:v>Open PO Line Testing</x:v>
      </x:c>
      <x:c r="C17" s="36" t="str">
        <x:v>Verify calculations for a partially received line.</x:v>
      </x:c>
      <x:c r="D17" s="36" t="str">
        <x:v>Search / Open PO view</x:v>
      </x:c>
      <x:c r="E17" s="36" t="str">
        <x:v>PO 4500002002</x:v>
      </x:c>
      <x:c r="F17" s="36" t="str">
        <x:v>High</x:v>
      </x:c>
      <x:c r="G17" s="36" t="str">
        <x:v>Not Started</x:v>
      </x:c>
      <x:c r="H17" s="36" t="str"/>
      <x:c r="I17" s="36" t="str"/>
      <x:c r="J17" s="36" t="str"/>
      <x:c r="K17" s="36" t="str"/>
      <x:c r="L17" s="36" t="str"/>
      <x:c r="M17" s="36" t="str">
        <x:v>Not Retested</x:v>
      </x:c>
      <x:c r="N17" s="36" t="str"/>
      <x:c r="O17" s="36" t="str">
        <x:v>Search for PO 4500002002.</x:v>
      </x:c>
      <x:c r="P17" s="36" t="str">
        <x:v>Ordered Qty = 200
- Received Qty = 80
- Open Qty = 120
- Open Value = $1,800.00
- Status = PARTIALLY_RECEIVED</x:v>
      </x:c>
      <x:c r="Q17" s="36" t="str">
        <x:v>Verify: 200 - 80 = 120 open qty, and 120  $15 = $1,800 open value.</x:v>
      </x:c>
      <x:c r="R17" s="36" t="str">
        <x:v>ordered_quantity, received_quantity, unit_price</x:v>
      </x:c>
      <x:c r="S17" s="36" t="str">
        <x:v>Calculations are correct and status is partial.</x:v>
      </x:c>
      <x:c r="T17" s="36" t="str">
        <x:v>Open quantity is displayed as 200 or open value is $3,000.</x:v>
      </x:c>
      <x:c r="U17" s="36" t="str">
        <x:v>Demo data reset.</x:v>
      </x:c>
      <x:c r="V17" s="36" t="str">
        <x:v>None.</x:v>
      </x:c>
    </x:row>
    <x:row r="18" ht="48" customHeight="1">
      <x:c r="A18" s="36" t="str">
        <x:v>TC-OP-03</x:v>
      </x:c>
      <x:c r="B18" s="36" t="str">
        <x:v>Open PO Line Testing</x:v>
      </x:c>
      <x:c r="C18" s="36" t="str">
        <x:v>Verify fully received PO lines are hidden from open lists.</x:v>
      </x:c>
      <x:c r="D18" s="36" t="str">
        <x:v>Dashboard / Open PO List</x:v>
      </x:c>
      <x:c r="E18" s="36" t="str">
        <x:v>PO 4500002003</x:v>
      </x:c>
      <x:c r="F18" s="36" t="str">
        <x:v>High</x:v>
      </x:c>
      <x:c r="G18" s="36" t="str">
        <x:v>Not Started</x:v>
      </x:c>
      <x:c r="H18" s="36" t="str"/>
      <x:c r="I18" s="36" t="str"/>
      <x:c r="J18" s="36" t="str"/>
      <x:c r="K18" s="36" t="str"/>
      <x:c r="L18" s="36" t="str"/>
      <x:c r="M18" s="36" t="str">
        <x:v>Not Retested</x:v>
      </x:c>
      <x:c r="N18" s="36" t="str"/>
      <x:c r="O18" s="36" t="str">
        <x:v>1. Search for PO 4500002003 in the Open PO drill-down list.
2. Try to locate it.</x:v>
      </x:c>
      <x:c r="P18" s="36" t="str">
        <x:v>PO 4500002003 does not appear in the active open PO list.</x:v>
      </x:c>
      <x:c r="Q18" s="36" t="str">
        <x:v>Check if the line has received_quantity == ordered_quantity (150 == 150), meaning open_quantity is 0.</x:v>
      </x:c>
      <x:c r="R18" s="36" t="str">
        <x:v>ordered_quantity, received_quantity</x:v>
      </x:c>
      <x:c r="S18" s="36" t="str">
        <x:v>Excluded from open PO list.</x:v>
      </x:c>
      <x:c r="T18" s="36" t="str">
        <x:v>Included in the open list.</x:v>
      </x:c>
      <x:c r="U18" s="36" t="str">
        <x:v>Demo data reset.</x:v>
      </x:c>
      <x:c r="V18" s="36" t="str">
        <x:v>Closed/fully received lines belong to historical reporting only.</x:v>
      </x:c>
    </x:row>
    <x:row r="19" ht="48" customHeight="1">
      <x:c r="A19" s="36" t="str">
        <x:v>TC-OP-04</x:v>
      </x:c>
      <x:c r="B19" s="36" t="str">
        <x:v>Open PO Line Testing</x:v>
      </x:c>
      <x:c r="C19" s="36" t="str">
        <x:v>Verify deleted lines are excluded from open lists.</x:v>
      </x:c>
      <x:c r="D19" s="36" t="str">
        <x:v>Open PO List</x:v>
      </x:c>
      <x:c r="E19" s="36" t="str">
        <x:v>PO 4500002015</x:v>
      </x:c>
      <x:c r="F19" s="36" t="str">
        <x:v>Critical</x:v>
      </x:c>
      <x:c r="G19" s="36" t="str">
        <x:v>Not Started</x:v>
      </x:c>
      <x:c r="H19" s="36" t="str"/>
      <x:c r="I19" s="36" t="str"/>
      <x:c r="J19" s="36" t="str"/>
      <x:c r="K19" s="36" t="str"/>
      <x:c r="L19" s="36" t="str"/>
      <x:c r="M19" s="36" t="str">
        <x:v>Not Retested</x:v>
      </x:c>
      <x:c r="N19" s="36" t="str"/>
      <x:c r="O19" s="36" t="str">
        <x:v>Look for PO 4500002015 in the active open PO list.</x:v>
      </x:c>
      <x:c r="P19" s="36" t="str">
        <x:v>Not visible.</x:v>
      </x:c>
      <x:c r="Q19" s="36" t="str">
        <x:v>Confirm deletion_completion_indicator is DELETED.</x:v>
      </x:c>
      <x:c r="R19" s="36" t="str">
        <x:v>deletion_completion_indicator</x:v>
      </x:c>
      <x:c r="S19" s="36" t="str">
        <x:v>Line is hidden from active dashboard counts and lists.</x:v>
      </x:c>
      <x:c r="T19" s="36" t="str">
        <x:v>Line shows up as active.</x:v>
      </x:c>
      <x:c r="U19" s="36" t="str">
        <x:v>Line is marked DELETED.</x:v>
      </x:c>
      <x:c r="V19" s="36" t="str">
        <x:v>None.</x:v>
      </x:c>
    </x:row>
    <x:row r="20" ht="48" customHeight="1">
      <x:c r="A20" s="36" t="str">
        <x:v>TC-OP-05</x:v>
      </x:c>
      <x:c r="B20" s="36" t="str">
        <x:v>Open PO Line Testing</x:v>
      </x:c>
      <x:c r="C20" s="36" t="str">
        <x:v>Verify closed lines are excluded.</x:v>
      </x:c>
      <x:c r="D20" s="36" t="str">
        <x:v>Open PO List</x:v>
      </x:c>
      <x:c r="E20" s="36" t="str">
        <x:v>PO 4500002016</x:v>
      </x:c>
      <x:c r="F20" s="36" t="str">
        <x:v>High</x:v>
      </x:c>
      <x:c r="G20" s="36" t="str">
        <x:v>Not Started</x:v>
      </x:c>
      <x:c r="H20" s="36" t="str"/>
      <x:c r="I20" s="36" t="str"/>
      <x:c r="J20" s="36" t="str"/>
      <x:c r="K20" s="36" t="str"/>
      <x:c r="L20" s="36" t="str"/>
      <x:c r="M20" s="36" t="str">
        <x:v>Not Retested</x:v>
      </x:c>
      <x:c r="N20" s="36" t="str"/>
      <x:c r="O20" s="36" t="str">
        <x:v>Check if PO 4500002016 is in open lists.</x:v>
      </x:c>
      <x:c r="P20" s="36" t="str">
        <x:v>Not visible.</x:v>
      </x:c>
      <x:c r="Q20" s="36" t="str">
        <x:v>Confirm deletion_completion_indicator is COMPLETED.</x:v>
      </x:c>
      <x:c r="R20" s="36" t="str">
        <x:v>deletion_completion_indicator</x:v>
      </x:c>
      <x:c r="S20" s="36" t="str">
        <x:v>Hidden from open lists.</x:v>
      </x:c>
      <x:c r="T20" s="36" t="str">
        <x:v>Visible in active lists.</x:v>
      </x:c>
      <x:c r="U20" s="36" t="str">
        <x:v>Line is completed.</x:v>
      </x:c>
      <x:c r="V20" s="36" t="str">
        <x:v>None.</x:v>
      </x:c>
    </x:row>
    <x:row r="21" ht="48" customHeight="1">
      <x:c r="A21" s="36" t="str">
        <x:v>TC-OP-06</x:v>
      </x:c>
      <x:c r="B21" s="36" t="str">
        <x:v>Open PO Line Testing</x:v>
      </x:c>
      <x:c r="C21" s="36" t="str">
        <x:v>Ensure deleted flag overrides remaining open quantity.</x:v>
      </x:c>
      <x:c r="D21" s="36" t="str">
        <x:v>Open PO List</x:v>
      </x:c>
      <x:c r="E21" s="36" t="str">
        <x:v>PO 4500002027</x:v>
      </x:c>
      <x:c r="F21" s="36" t="str">
        <x:v>High</x:v>
      </x:c>
      <x:c r="G21" s="36" t="str">
        <x:v>Not Started</x:v>
      </x:c>
      <x:c r="H21" s="36" t="str"/>
      <x:c r="I21" s="36" t="str"/>
      <x:c r="J21" s="36" t="str"/>
      <x:c r="K21" s="36" t="str"/>
      <x:c r="L21" s="36" t="str"/>
      <x:c r="M21" s="36" t="str">
        <x:v>Not Retested</x:v>
      </x:c>
      <x:c r="N21" s="36" t="str"/>
      <x:c r="O21" s="36" t="str">
        <x:v>Check if PO 4500002027 appears in open PO lines.</x:v>
      </x:c>
      <x:c r="P21" s="36" t="str">
        <x:v>Excluded.</x:v>
      </x:c>
      <x:c r="Q21" s="36" t="str">
        <x:v>Ensure the system does not count the 100 units or $1,500 open value because the line is cancelled.</x:v>
      </x:c>
      <x:c r="R21" s="36" t="str">
        <x:v>deletion_completion_indicator, open_quantity</x:v>
      </x:c>
      <x:c r="S21" s="36" t="str">
        <x:v>Excluded from active count and value.</x:v>
      </x:c>
      <x:c r="T21" s="36" t="str">
        <x:v>Counted as open.</x:v>
      </x:c>
      <x:c r="U21" s="36" t="str">
        <x:v>deletion_completion_indicator == DELETED, but ordered_quantity = 100 and received_quantity = 0.</x:v>
      </x:c>
      <x:c r="V21" s="36" t="str">
        <x:v>Important SAP data integrity rule.</x:v>
      </x:c>
    </x:row>
    <x:row r="22" ht="48" customHeight="1">
      <x:c r="A22" s="36" t="str">
        <x:v>TC-OP-07</x:v>
      </x:c>
      <x:c r="B22" s="36" t="str">
        <x:v>Open PO Line Testing</x:v>
      </x:c>
      <x:c r="C22" s="36" t="str">
        <x:v>Verify service PO rendering (in EUR).</x:v>
      </x:c>
      <x:c r="D22" s="36" t="str">
        <x:v>Search / Open PO List</x:v>
      </x:c>
      <x:c r="E22" s="36" t="str">
        <x:v>PO 4500002019</x:v>
      </x:c>
      <x:c r="F22" s="36" t="str">
        <x:v>Medium</x:v>
      </x:c>
      <x:c r="G22" s="36" t="str">
        <x:v>Not Started</x:v>
      </x:c>
      <x:c r="H22" s="36" t="str"/>
      <x:c r="I22" s="36" t="str"/>
      <x:c r="J22" s="36" t="str"/>
      <x:c r="K22" s="36" t="str"/>
      <x:c r="L22" s="36" t="str"/>
      <x:c r="M22" s="36" t="str">
        <x:v>Not Retested</x:v>
      </x:c>
      <x:c r="N22" s="36" t="str"/>
      <x:c r="O22" s="36" t="str">
        <x:v>View PO 4500002019.</x:v>
      </x:c>
      <x:c r="P22" s="36" t="str">
        <x:v>Shows value in EUR (75,000 EUR) and status OPEN.</x:v>
      </x:c>
      <x:c r="Q22" s="36" t="str">
        <x:v>Compare with mock data currency field.</x:v>
      </x:c>
      <x:c r="R22" s="36" t="str">
        <x:v>currency, unit_price, material_service_description</x:v>
      </x:c>
      <x:c r="S22" s="36" t="str">
        <x:v>Displays EUR currency correctly.</x:v>
      </x:c>
      <x:c r="T22" s="36" t="str">
        <x:v>Displays USD or incorrect value.</x:v>
      </x:c>
      <x:c r="U22" s="36" t="str">
        <x:v>Service PO line.</x:v>
      </x:c>
      <x:c r="V22" s="36" t="str">
        <x:v>None.</x:v>
      </x:c>
    </x:row>
    <x:row r="23" ht="48" customHeight="1">
      <x:c r="A23" s="36" t="str">
        <x:v>TC-OP-08</x:v>
      </x:c>
      <x:c r="B23" s="36" t="str">
        <x:v>Open PO Line Testing</x:v>
      </x:c>
      <x:c r="C23" s="36" t="str">
        <x:v>Verify material PO rendering.</x:v>
      </x:c>
      <x:c r="D23" s="36" t="str">
        <x:v>Search</x:v>
      </x:c>
      <x:c r="E23" s="36" t="str">
        <x:v>PO 4500002001</x:v>
      </x:c>
      <x:c r="F23" s="36" t="str">
        <x:v>Medium</x:v>
      </x:c>
      <x:c r="G23" s="36" t="str">
        <x:v>Not Started</x:v>
      </x:c>
      <x:c r="H23" s="36" t="str"/>
      <x:c r="I23" s="36" t="str"/>
      <x:c r="J23" s="36" t="str"/>
      <x:c r="K23" s="36" t="str"/>
      <x:c r="L23" s="36" t="str"/>
      <x:c r="M23" s="36" t="str">
        <x:v>Not Retested</x:v>
      </x:c>
      <x:c r="N23" s="36" t="str"/>
      <x:c r="O23" s="36" t="str">
        <x:v>Search for PO 4500002001.</x:v>
      </x:c>
      <x:c r="P23" s="36" t="str">
        <x:v>Shows material ID Microprocessor Core v1 and quantity units pcs.</x:v>
      </x:c>
      <x:c r="Q23" s="36" t="str">
        <x:v>Check source text.</x:v>
      </x:c>
      <x:c r="R23" s="36" t="str">
        <x:v>material_service_description</x:v>
      </x:c>
      <x:c r="S23" s="36" t="str">
        <x:v>Matches source description.</x:v>
      </x:c>
      <x:c r="T23" s="36" t="str">
        <x:v>Empty description or service layout used.</x:v>
      </x:c>
      <x:c r="U23" s="36" t="str">
        <x:v>Material PO line.</x:v>
      </x:c>
      <x:c r="V23" s="36" t="str">
        <x:v>None.</x:v>
      </x:c>
    </x:row>
    <x:row r="24" ht="48" customHeight="1">
      <x:c r="A24" s="36" t="str">
        <x:v>TC-OP-09</x:v>
      </x:c>
      <x:c r="B24" s="36" t="str">
        <x:v>Open PO Line Testing</x:v>
      </x:c>
      <x:c r="C24" s="36" t="str">
        <x:v>Verify PO line with zero open quantity is excluded from open metrics.</x:v>
      </x:c>
      <x:c r="D24" s="36" t="str">
        <x:v>Dashboard</x:v>
      </x:c>
      <x:c r="E24" s="36" t="str">
        <x:v>PO 4500002012</x:v>
      </x:c>
      <x:c r="F24" s="36" t="str">
        <x:v>High</x:v>
      </x:c>
      <x:c r="G24" s="36" t="str">
        <x:v>Not Started</x:v>
      </x:c>
      <x:c r="H24" s="36" t="str"/>
      <x:c r="I24" s="36" t="str"/>
      <x:c r="J24" s="36" t="str"/>
      <x:c r="K24" s="36" t="str"/>
      <x:c r="L24" s="36" t="str"/>
      <x:c r="M24" s="36" t="str">
        <x:v>Not Retested</x:v>
      </x:c>
      <x:c r="N24" s="36" t="str"/>
      <x:c r="O24" s="36" t="str">
        <x:v>Search for PO 4500002012 in open PO lists.</x:v>
      </x:c>
      <x:c r="P24" s="36" t="str">
        <x:v>Not found.</x:v>
      </x:c>
      <x:c r="Q24" s="36" t="str">
        <x:v>Confirm open_quantity == 0.</x:v>
      </x:c>
      <x:c r="R24" s="36" t="str">
        <x:v>open_quantity</x:v>
      </x:c>
      <x:c r="S24" s="36" t="str">
        <x:v>Excluded.</x:v>
      </x:c>
      <x:c r="T24" s="36" t="str">
        <x:v>Included.</x:v>
      </x:c>
      <x:c r="U24" s="36" t="str">
        <x:v>open_quantity = 0.</x:v>
      </x:c>
      <x:c r="V24" s="36" t="str">
        <x:v>Invoice is blocked but PO delivery is complete.</x:v>
      </x:c>
    </x:row>
    <x:row r="25" ht="48" customHeight="1">
      <x:c r="A25" s="36" t="str">
        <x:v>TC-OP-10</x:v>
      </x:c>
      <x:c r="B25" s="36" t="str">
        <x:v>Open PO Line Testing</x:v>
      </x:c>
      <x:c r="C25" s="36" t="str">
        <x:v>Verify invalid/negative quantity is caught.</x:v>
      </x:c>
      <x:c r="D25" s="36" t="str">
        <x:v>Dashboard / Data Quality exceptions</x:v>
      </x:c>
      <x:c r="E25" s="36" t="str">
        <x:v>PO 4500002029</x:v>
      </x:c>
      <x:c r="F25" s="36" t="str">
        <x:v>High</x:v>
      </x:c>
      <x:c r="G25" s="36" t="str">
        <x:v>Not Started</x:v>
      </x:c>
      <x:c r="H25" s="36" t="str"/>
      <x:c r="I25" s="36" t="str"/>
      <x:c r="J25" s="36" t="str"/>
      <x:c r="K25" s="36" t="str"/>
      <x:c r="L25" s="36" t="str"/>
      <x:c r="M25" s="36" t="str">
        <x:v>Not Retested</x:v>
      </x:c>
      <x:c r="N25" s="36" t="str"/>
      <x:c r="O25" s="36" t="str">
        <x:v>Locate PO 4500002029.</x:v>
      </x:c>
      <x:c r="P25" s="36" t="str">
        <x:v>Flagged as exception: "Negative Quantity". Excluded from standard open quantity totals.</x:v>
      </x:c>
      <x:c r="Q25" s="36" t="str">
        <x:v>Confirm negative quantity is present.</x:v>
      </x:c>
      <x:c r="R25" s="36" t="str">
        <x:v>ordered_quantity</x:v>
      </x:c>
      <x:c r="S25" s="36" t="str">
        <x:v>Flagged and excluded from standard sums.</x:v>
      </x:c>
      <x:c r="T25" s="36" t="str">
        <x:v>Calculated as a subtraction from open sums.</x:v>
      </x:c>
      <x:c r="U25" s="36" t="str">
        <x:v>ordered_quantity = -50.</x:v>
      </x:c>
      <x:c r="V25" s="36" t="str">
        <x:v>None.</x:v>
      </x:c>
    </x:row>
    <x:row r="26" ht="48" customHeight="1">
      <x:c r="A26" s="36" t="str">
        <x:v>TC-OV-01</x:v>
      </x:c>
      <x:c r="B26" s="36" t="str">
        <x:v>Overdue PO Testing</x:v>
      </x:c>
      <x:c r="C26" s="36" t="str">
        <x:v>Verify past-due lines are marked overdue.</x:v>
      </x:c>
      <x:c r="D26" s="36" t="str">
        <x:v>Overdue Workbench</x:v>
      </x:c>
      <x:c r="E26" s="36" t="str">
        <x:v>PO 4500002004 (Delivery: May 20, 2026)</x:v>
      </x:c>
      <x:c r="F26" s="36" t="str">
        <x:v>Critical</x:v>
      </x:c>
      <x:c r="G26" s="36" t="str">
        <x:v>Not Started</x:v>
      </x:c>
      <x:c r="H26" s="36" t="str"/>
      <x:c r="I26" s="36" t="str"/>
      <x:c r="J26" s="36" t="str"/>
      <x:c r="K26" s="36" t="str"/>
      <x:c r="L26" s="36" t="str"/>
      <x:c r="M26" s="36" t="str">
        <x:v>Not Retested</x:v>
      </x:c>
      <x:c r="N26" s="36" t="str"/>
      <x:c r="O26" s="36" t="str">
        <x:v>Open Overdue Workbench and search for PO 4500002004.</x:v>
      </x:c>
      <x:c r="P26" s="36" t="str">
        <x:v>Displays as "Overdue" by 21 days.</x:v>
      </x:c>
      <x:c r="Q26" s="36" t="str">
        <x:v>Calculate June 10 - May 20 = 21 days.</x:v>
      </x:c>
      <x:c r="R26" s="36" t="str">
        <x:v>delivery_date</x:v>
      </x:c>
      <x:c r="S26" s="36" t="str">
        <x:v>Classified as overdue.</x:v>
      </x:c>
      <x:c r="T26" s="36" t="str">
        <x:v>Missing from overdue workbench.</x:v>
      </x:c>
      <x:c r="U26" s="36" t="str">
        <x:v>Current date is June 10, 2026.</x:v>
      </x:c>
      <x:c r="V26" s="36" t="str">
        <x:v>None.</x:v>
      </x:c>
    </x:row>
    <x:row r="27" ht="48" customHeight="1">
      <x:c r="A27" s="36" t="str">
        <x:v>TC-OV-02</x:v>
      </x:c>
      <x:c r="B27" s="36" t="str">
        <x:v>Overdue PO Testing</x:v>
      </x:c>
      <x:c r="C27" s="36" t="str">
        <x:v>Verify today's delivery is not marked overdue.</x:v>
      </x:c>
      <x:c r="D27" s="36" t="str">
        <x:v>Overdue Workbench</x:v>
      </x:c>
      <x:c r="E27" s="36" t="str">
        <x:v>PO with delivery date set to current date.</x:v>
      </x:c>
      <x:c r="F27" s="36" t="str">
        <x:v>High</x:v>
      </x:c>
      <x:c r="G27" s="36" t="str">
        <x:v>Not Started</x:v>
      </x:c>
      <x:c r="H27" s="36" t="str"/>
      <x:c r="I27" s="36" t="str"/>
      <x:c r="J27" s="36" t="str"/>
      <x:c r="K27" s="36" t="str"/>
      <x:c r="L27" s="36" t="str"/>
      <x:c r="M27" s="36" t="str">
        <x:v>Not Retested</x:v>
      </x:c>
      <x:c r="N27" s="36" t="str"/>
      <x:c r="O27" s="36" t="str">
        <x:v>Verify if today's delivery PO appears in the Overdue Workbench.</x:v>
      </x:c>
      <x:c r="P27" s="36" t="str">
        <x:v>Does not appear (on track).</x:v>
      </x:c>
      <x:c r="Q27" s="36" t="str">
        <x:v>Confirm delivery_date == 2026-06-10.</x:v>
      </x:c>
      <x:c r="R27" s="36" t="str">
        <x:v>delivery_date</x:v>
      </x:c>
      <x:c r="S27" s="36" t="str">
        <x:v>Excluded from overdue.</x:v>
      </x:c>
      <x:c r="T27" s="36" t="str">
        <x:v>Included in overdue.</x:v>
      </x:c>
      <x:c r="U27" s="36" t="str">
        <x:v>Current date is June 10, 2026.</x:v>
      </x:c>
      <x:c r="V27" s="36" t="str">
        <x:v>None.</x:v>
      </x:c>
    </x:row>
    <x:row r="28" ht="48" customHeight="1">
      <x:c r="A28" s="36" t="str">
        <x:v>TC-OV-03</x:v>
      </x:c>
      <x:c r="B28" s="36" t="str">
        <x:v>Overdue PO Testing</x:v>
      </x:c>
      <x:c r="C28" s="36" t="str">
        <x:v>Verify future delivery PO is on track.</x:v>
      </x:c>
      <x:c r="D28" s="36" t="str">
        <x:v>Overdue Workbench</x:v>
      </x:c>
      <x:c r="E28" s="36" t="str">
        <x:v>PO 4500002005 (Delivery: July 15, 2026)</x:v>
      </x:c>
      <x:c r="F28" s="36" t="str">
        <x:v>High</x:v>
      </x:c>
      <x:c r="G28" s="36" t="str">
        <x:v>Not Started</x:v>
      </x:c>
      <x:c r="H28" s="36" t="str"/>
      <x:c r="I28" s="36" t="str"/>
      <x:c r="J28" s="36" t="str"/>
      <x:c r="K28" s="36" t="str"/>
      <x:c r="L28" s="36" t="str"/>
      <x:c r="M28" s="36" t="str">
        <x:v>Not Retested</x:v>
      </x:c>
      <x:c r="N28" s="36" t="str"/>
      <x:c r="O28" s="36" t="str">
        <x:v>Search for PO 4500002005 in Overdue Workbench.</x:v>
      </x:c>
      <x:c r="P28" s="36" t="str">
        <x:v>Absent.</x:v>
      </x:c>
      <x:c r="Q28" s="36" t="str">
        <x:v>Confirm delivery date is in future.</x:v>
      </x:c>
      <x:c r="R28" s="36" t="str">
        <x:v>delivery_date</x:v>
      </x:c>
      <x:c r="S28" s="36" t="str">
        <x:v>Excluded.</x:v>
      </x:c>
      <x:c r="T28" s="36" t="str">
        <x:v>Included.</x:v>
      </x:c>
      <x:c r="U28" s="36" t="str">
        <x:v>Date is June 10, 2026.</x:v>
      </x:c>
      <x:c r="V28" s="36" t="str">
        <x:v>None.</x:v>
      </x:c>
    </x:row>
    <x:row r="29" ht="48" customHeight="1">
      <x:c r="A29" s="36" t="str">
        <x:v>TC-OV-04</x:v>
      </x:c>
      <x:c r="B29" s="36" t="str">
        <x:v>Overdue PO Testing</x:v>
      </x:c>
      <x:c r="C29" s="36" t="str">
        <x:v>Ensure completed lines are not flagged as overdue.</x:v>
      </x:c>
      <x:c r="D29" s="36" t="str">
        <x:v>Overdue Workbench</x:v>
      </x:c>
      <x:c r="E29" s="36" t="str">
        <x:v>PO 4500002003 (Delivery: May 15, 2026)</x:v>
      </x:c>
      <x:c r="F29" s="36" t="str">
        <x:v>High</x:v>
      </x:c>
      <x:c r="G29" s="36" t="str">
        <x:v>Not Started</x:v>
      </x:c>
      <x:c r="H29" s="36" t="str"/>
      <x:c r="I29" s="36" t="str"/>
      <x:c r="J29" s="36" t="str"/>
      <x:c r="K29" s="36" t="str"/>
      <x:c r="L29" s="36" t="str"/>
      <x:c r="M29" s="36" t="str">
        <x:v>Not Retested</x:v>
      </x:c>
      <x:c r="N29" s="36" t="str"/>
      <x:c r="O29" s="36" t="str">
        <x:v>Look for PO 4500002003 in Overdue Workbench.</x:v>
      </x:c>
      <x:c r="P29" s="36" t="str">
        <x:v>Absent.</x:v>
      </x:c>
      <x:c r="Q29" s="36" t="str">
        <x:v>Check if open qty is 0.</x:v>
      </x:c>
      <x:c r="R29" s="36" t="str">
        <x:v>delivery_date, open_quantity</x:v>
      </x:c>
      <x:c r="S29" s="36" t="str">
        <x:v>Excluded.</x:v>
      </x:c>
      <x:c r="T29" s="36" t="str">
        <x:v>Included.</x:v>
      </x:c>
      <x:c r="U29" s="36" t="str">
        <x:v>Date is June 10, 2026. open_quantity = 0.</x:v>
      </x:c>
      <x:c r="V29" s="36" t="str">
        <x:v>None.</x:v>
      </x:c>
    </x:row>
    <x:row r="30" ht="48" customHeight="1">
      <x:c r="A30" s="36" t="str">
        <x:v>TC-OV-05</x:v>
      </x:c>
      <x:c r="B30" s="36" t="str">
        <x:v>Overdue PO Testing</x:v>
      </x:c>
      <x:c r="C30" s="36" t="str">
        <x:v>Ensure deleted lines with old dates are excluded.</x:v>
      </x:c>
      <x:c r="D30" s="36" t="str">
        <x:v>Overdue Workbench</x:v>
      </x:c>
      <x:c r="E30" s="36" t="str">
        <x:v>PO 4500002015</x:v>
      </x:c>
      <x:c r="F30" s="36" t="str">
        <x:v>Critical</x:v>
      </x:c>
      <x:c r="G30" s="36" t="str">
        <x:v>Not Started</x:v>
      </x:c>
      <x:c r="H30" s="36" t="str"/>
      <x:c r="I30" s="36" t="str"/>
      <x:c r="J30" s="36" t="str"/>
      <x:c r="K30" s="36" t="str"/>
      <x:c r="L30" s="36" t="str"/>
      <x:c r="M30" s="36" t="str">
        <x:v>Not Retested</x:v>
      </x:c>
      <x:c r="N30" s="36" t="str"/>
      <x:c r="O30" s="36" t="str">
        <x:v>Check if PO 4500002015 appears in Overdue lists.</x:v>
      </x:c>
      <x:c r="P30" s="36" t="str">
        <x:v>Absent.</x:v>
      </x:c>
      <x:c r="Q30" s="36" t="str">
        <x:v>Confirm deleted status.</x:v>
      </x:c>
      <x:c r="R30" s="36" t="str">
        <x:v>deletion_completion_indicator</x:v>
      </x:c>
      <x:c r="S30" s="36" t="str">
        <x:v>Excluded.</x:v>
      </x:c>
      <x:c r="T30" s="36" t="str">
        <x:v>Included.</x:v>
      </x:c>
      <x:c r="U30" s="36" t="str">
        <x:v>deletion_completion_indicator == DELETED.</x:v>
      </x:c>
      <x:c r="V30" s="36" t="str">
        <x:v>None.</x:v>
      </x:c>
    </x:row>
    <x:row r="31" ht="48" customHeight="1">
      <x:c r="A31" s="36" t="str">
        <x:v>TC-OV-06</x:v>
      </x:c>
      <x:c r="B31" s="36" t="str">
        <x:v>Overdue PO Testing</x:v>
      </x:c>
      <x:c r="C31" s="36" t="str">
        <x:v>Verify overdue status on partially received line.</x:v>
      </x:c>
      <x:c r="D31" s="36" t="str">
        <x:v>Overdue Workbench</x:v>
      </x:c>
      <x:c r="E31" s="36" t="str">
        <x:v>PO 4500002002 (Delivery: June 5, 2026)</x:v>
      </x:c>
      <x:c r="F31" s="36" t="str">
        <x:v>High</x:v>
      </x:c>
      <x:c r="G31" s="36" t="str">
        <x:v>Not Started</x:v>
      </x:c>
      <x:c r="H31" s="36" t="str"/>
      <x:c r="I31" s="36" t="str"/>
      <x:c r="J31" s="36" t="str"/>
      <x:c r="K31" s="36" t="str"/>
      <x:c r="L31" s="36" t="str"/>
      <x:c r="M31" s="36" t="str">
        <x:v>Not Retested</x:v>
      </x:c>
      <x:c r="N31" s="36" t="str"/>
      <x:c r="O31" s="36" t="str">
        <x:v>Search for PO 4500002002 in Overdue Workbench.</x:v>
      </x:c>
      <x:c r="P31" s="36" t="str">
        <x:v>Appears as overdue by 5 days, showing 120 open units.</x:v>
      </x:c>
      <x:c r="Q31" s="36" t="str">
        <x:v>Calculate June 10 - June 5 = 5 days.</x:v>
      </x:c>
      <x:c r="R31" s="36" t="str">
        <x:v>delivery_date, open_quantity</x:v>
      </x:c>
      <x:c r="S31" s="36" t="str">
        <x:v>Displays in overdue queue with correct remaining open quantity.</x:v>
      </x:c>
      <x:c r="T31" s="36" t="str">
        <x:v>Shows total ordered qty (200) or fails to show as overdue.</x:v>
      </x:c>
      <x:c r="U31" s="36" t="str">
        <x:v>Current date is June 10, 2026. Open qty is 120.</x:v>
      </x:c>
      <x:c r="V31" s="36" t="str">
        <x:v>None.</x:v>
      </x:c>
    </x:row>
    <x:row r="32" ht="48" customHeight="1">
      <x:c r="A32" s="36" t="str">
        <x:v>TC-OV-07</x:v>
      </x:c>
      <x:c r="B32" s="36" t="str">
        <x:v>Overdue PO Testing</x:v>
      </x:c>
      <x:c r="C32" s="36" t="str">
        <x:v>Confirm zero open qty excludes overdue status.</x:v>
      </x:c>
      <x:c r="D32" s="36" t="str">
        <x:v>Overdue Workbench</x:v>
      </x:c>
      <x:c r="E32" s="36" t="str">
        <x:v>PO 4500002012 (Delivery: May 10, 2026)</x:v>
      </x:c>
      <x:c r="F32" s="36" t="str">
        <x:v>High</x:v>
      </x:c>
      <x:c r="G32" s="36" t="str">
        <x:v>Not Started</x:v>
      </x:c>
      <x:c r="H32" s="36" t="str"/>
      <x:c r="I32" s="36" t="str"/>
      <x:c r="J32" s="36" t="str"/>
      <x:c r="K32" s="36" t="str"/>
      <x:c r="L32" s="36" t="str"/>
      <x:c r="M32" s="36" t="str">
        <x:v>Not Retested</x:v>
      </x:c>
      <x:c r="N32" s="36" t="str"/>
      <x:c r="O32" s="36" t="str">
        <x:v>Search for PO 4500002012 in Overdue lists.</x:v>
      </x:c>
      <x:c r="P32" s="36" t="str">
        <x:v>Absent.</x:v>
      </x:c>
      <x:c r="Q32" s="36" t="str">
        <x:v>Verify open_quantity = 0.</x:v>
      </x:c>
      <x:c r="R32" s="36" t="str">
        <x:v>delivery_date, open_quantity</x:v>
      </x:c>
      <x:c r="S32" s="36" t="str">
        <x:v>Excluded.</x:v>
      </x:c>
      <x:c r="T32" s="36" t="str">
        <x:v>Included.</x:v>
      </x:c>
      <x:c r="U32" s="36" t="str">
        <x:v>Delivery complete, invoice blocked.</x:v>
      </x:c>
      <x:c r="V32" s="36" t="str">
        <x:v>None.</x:v>
      </x:c>
    </x:row>
    <x:row r="33" ht="48" customHeight="1">
      <x:c r="A33" s="36" t="str">
        <x:v>TC-OV-08</x:v>
      </x:c>
      <x:c r="B33" s="36" t="str">
        <x:v>Overdue PO Testing</x:v>
      </x:c>
      <x:c r="C33" s="36" t="str">
        <x:v>Verify overdue lines count by buyer.</x:v>
      </x:c>
      <x:c r="D33" s="36" t="str">
        <x:v>Overdue Workbench</x:v>
      </x:c>
      <x:c r="E33" s="36" t="str">
        <x:v>Alex Buyer (BUY-01)</x:v>
      </x:c>
      <x:c r="F33" s="36" t="str">
        <x:v>Medium</x:v>
      </x:c>
      <x:c r="G33" s="36" t="str">
        <x:v>Not Started</x:v>
      </x:c>
      <x:c r="H33" s="36" t="str"/>
      <x:c r="I33" s="36" t="str"/>
      <x:c r="J33" s="36" t="str"/>
      <x:c r="K33" s="36" t="str"/>
      <x:c r="L33" s="36" t="str"/>
      <x:c r="M33" s="36" t="str">
        <x:v>Not Retested</x:v>
      </x:c>
      <x:c r="N33" s="36" t="str"/>
      <x:c r="O33" s="36" t="str">
        <x:v>Filter Overdue Workbench by buyer "Alex Buyer".</x:v>
      </x:c>
      <x:c r="P33" s="36" t="str">
        <x:v>Shows exactly 5 overdue lines.</x:v>
      </x:c>
      <x:c r="Q33" s="36" t="str">
        <x:v>Count overdue items for Alex in database.</x:v>
      </x:c>
      <x:c r="R33" s="36" t="str">
        <x:v>buyer, delivery_date</x:v>
      </x:c>
      <x:c r="S33" s="36" t="str">
        <x:v>Filtered count matches 5.</x:v>
      </x:c>
      <x:c r="T33" s="36" t="str">
        <x:v>Shows wrong count.</x:v>
      </x:c>
      <x:c r="U33" s="36" t="str">
        <x:v>Date is June 10, 2026.</x:v>
      </x:c>
      <x:c r="V33" s="36" t="str">
        <x:v>Overdue lines for Alex: 2004, 2009, 2023, 2024, 2026.</x:v>
      </x:c>
    </x:row>
    <x:row r="34" ht="48" customHeight="1">
      <x:c r="A34" s="36" t="str">
        <x:v>TC-OV-09</x:v>
      </x:c>
      <x:c r="B34" s="36" t="str">
        <x:v>Overdue PO Testing</x:v>
      </x:c>
      <x:c r="C34" s="36" t="str">
        <x:v>Verify overdue lines count by plant.</x:v>
      </x:c>
      <x:c r="D34" s="36" t="str">
        <x:v>Overdue Workbench</x:v>
      </x:c>
      <x:c r="E34" s="36" t="str">
        <x:v>Plant PL01</x:v>
      </x:c>
      <x:c r="F34" s="36" t="str">
        <x:v>Medium</x:v>
      </x:c>
      <x:c r="G34" s="36" t="str">
        <x:v>Not Started</x:v>
      </x:c>
      <x:c r="H34" s="36" t="str"/>
      <x:c r="I34" s="36" t="str"/>
      <x:c r="J34" s="36" t="str"/>
      <x:c r="K34" s="36" t="str"/>
      <x:c r="L34" s="36" t="str"/>
      <x:c r="M34" s="36" t="str">
        <x:v>Not Retested</x:v>
      </x:c>
      <x:c r="N34" s="36" t="str"/>
      <x:c r="O34" s="36" t="str">
        <x:v>Filter Overdue Workbench by Plant PL01.</x:v>
      </x:c>
      <x:c r="P34" s="36" t="str">
        <x:v>Displays plant-specific overdue lines.</x:v>
      </x:c>
      <x:c r="Q34" s="36" t="str">
        <x:v>Reconcile count against plant PL01 in mock data.</x:v>
      </x:c>
      <x:c r="R34" s="36" t="str">
        <x:v>plant, delivery_date</x:v>
      </x:c>
      <x:c r="S34" s="36" t="str">
        <x:v>Counts reconcile.</x:v>
      </x:c>
      <x:c r="T34" s="36" t="str">
        <x:v>Incorrect count.</x:v>
      </x:c>
      <x:c r="U34" s="36" t="str">
        <x:v>Date is June 10, 2026.</x:v>
      </x:c>
      <x:c r="V34" s="36" t="str">
        <x:v>None.</x:v>
      </x:c>
    </x:row>
    <x:row r="35" ht="48" customHeight="1">
      <x:c r="A35" s="36" t="str">
        <x:v>TC-OV-10</x:v>
      </x:c>
      <x:c r="B35" s="36" t="str">
        <x:v>Overdue PO Testing</x:v>
      </x:c>
      <x:c r="C35" s="36" t="str">
        <x:v>Verify overdue lines are sorted into correct aging buckets.</x:v>
      </x:c>
      <x:c r="D35" s="36" t="str">
        <x:v>Dashboard / Overdue Workbench</x:v>
      </x:c>
      <x:c r="E35" s="36" t="str">
        <x:v>All</x:v>
      </x:c>
      <x:c r="F35" s="36" t="str">
        <x:v>High</x:v>
      </x:c>
      <x:c r="G35" s="36" t="str">
        <x:v>Not Started</x:v>
      </x:c>
      <x:c r="H35" s="36" t="str"/>
      <x:c r="I35" s="36" t="str"/>
      <x:c r="J35" s="36" t="str"/>
      <x:c r="K35" s="36" t="str"/>
      <x:c r="L35" s="36" t="str"/>
      <x:c r="M35" s="36" t="str">
        <x:v>Not Retested</x:v>
      </x:c>
      <x:c r="N35" s="36" t="str"/>
      <x:c r="O35" s="36" t="str">
        <x:v>View aging charts or tabs.</x:v>
      </x:c>
      <x:c r="P35" s="36" t="str">
        <x:v>Lines sorted as:
- 1–7 days: PO 4500002009 (2 days overdue)
- 8–15 days: PO 4500002008 (8 days), PO 4500002024 (9 days)
- 16–30 days: PO 4500002004 (21 days), PO 4500002023 (21 days), PO 4500002022 (26 days), PO 4500002026 (26 days)</x:v>
      </x:c>
      <x:c r="Q35" s="36" t="str">
        <x:v>Compute June 10 - delivery_date and compare sorting.</x:v>
      </x:c>
      <x:c r="R35" s="36" t="str">
        <x:v>delivery_date</x:v>
      </x:c>
      <x:c r="S35" s="36" t="str">
        <x:v>Sorting is mathematically correct.</x:v>
      </x:c>
      <x:c r="T35" s="36" t="str">
        <x:v>Mismatches.</x:v>
      </x:c>
      <x:c r="U35" s="36" t="str">
        <x:v>Date is June 10, 2026.</x:v>
      </x:c>
      <x:c r="V35" s="36" t="str">
        <x:v>Exclude invalid dates (e.g. 2018).</x:v>
      </x:c>
    </x:row>
    <x:row r="36" ht="48" customHeight="1">
      <x:c r="A36" s="36" t="str">
        <x:v>TC-GR-01</x:v>
      </x:c>
      <x:c r="B36" s="36" t="str">
        <x:v>Goods Receipt Testing</x:v>
      </x:c>
      <x:c r="C36" s="36" t="str">
        <x:v>Verify line with zero receipt quantity shows as PENDING.</x:v>
      </x:c>
      <x:c r="D36" s="36" t="str">
        <x:v>Search / PO Detail</x:v>
      </x:c>
      <x:c r="E36" s="36" t="str">
        <x:v>PO 4500002001</x:v>
      </x:c>
      <x:c r="F36" s="36" t="str">
        <x:v>Medium</x:v>
      </x:c>
      <x:c r="G36" s="36" t="str">
        <x:v>Not Started</x:v>
      </x:c>
      <x:c r="H36" s="36" t="str"/>
      <x:c r="I36" s="36" t="str"/>
      <x:c r="J36" s="36" t="str"/>
      <x:c r="K36" s="36" t="str"/>
      <x:c r="L36" s="36" t="str"/>
      <x:c r="M36" s="36" t="str">
        <x:v>Not Retested</x:v>
      </x:c>
      <x:c r="N36" s="36" t="str"/>
      <x:c r="O36" s="36" t="str">
        <x:v>View PO 4500002001.</x:v>
      </x:c>
      <x:c r="P36" s="36" t="str">
        <x:v>GR Status is displayed as PENDING or "Not Started".</x:v>
      </x:c>
      <x:c r="Q36" s="36" t="str">
        <x:v>Confirm received_quantity is 0.</x:v>
      </x:c>
      <x:c r="R36" s="36" t="str">
        <x:v>received_quantity, gr_status</x:v>
      </x:c>
      <x:c r="S36" s="36" t="str">
        <x:v>Status is pending.</x:v>
      </x:c>
      <x:c r="T36" s="36" t="str">
        <x:v>Status is partial or complete.</x:v>
      </x:c>
      <x:c r="U36" s="36" t="str">
        <x:v>received_quantity = 0.</x:v>
      </x:c>
      <x:c r="V36" s="36" t="str">
        <x:v>None.</x:v>
      </x:c>
    </x:row>
    <x:row r="37" ht="48" customHeight="1">
      <x:c r="A37" s="36" t="str">
        <x:v>TC-GR-02</x:v>
      </x:c>
      <x:c r="B37" s="36" t="str">
        <x:v>Goods Receipt Testing</x:v>
      </x:c>
      <x:c r="C37" s="36" t="str">
        <x:v>Verify line with partial receipt quantity shows as PARTIAL.</x:v>
      </x:c>
      <x:c r="D37" s="36" t="str">
        <x:v>Search / PO Detail</x:v>
      </x:c>
      <x:c r="E37" s="36" t="str">
        <x:v>PO 4500002002</x:v>
      </x:c>
      <x:c r="F37" s="36" t="str">
        <x:v>High</x:v>
      </x:c>
      <x:c r="G37" s="36" t="str">
        <x:v>Not Started</x:v>
      </x:c>
      <x:c r="H37" s="36" t="str"/>
      <x:c r="I37" s="36" t="str"/>
      <x:c r="J37" s="36" t="str"/>
      <x:c r="K37" s="36" t="str"/>
      <x:c r="L37" s="36" t="str"/>
      <x:c r="M37" s="36" t="str">
        <x:v>Not Retested</x:v>
      </x:c>
      <x:c r="N37" s="36" t="str"/>
      <x:c r="O37" s="36" t="str">
        <x:v>View PO 4500002002.</x:v>
      </x:c>
      <x:c r="P37" s="36" t="str">
        <x:v>GR Status is PARTIAL or "Partially Received".</x:v>
      </x:c>
      <x:c r="Q37" s="36" t="str">
        <x:v>Confirm received_quantity &lt; ordered_quantity.</x:v>
      </x:c>
      <x:c r="R37" s="36" t="str">
        <x:v>received_quantity, ordered_quantity, gr_status</x:v>
      </x:c>
      <x:c r="S37" s="36" t="str">
        <x:v>Status is partial.</x:v>
      </x:c>
      <x:c r="T37" s="36" t="str">
        <x:v>Shows completed or pending.</x:v>
      </x:c>
      <x:c r="U37" s="36" t="str">
        <x:v>received_quantity = 80, ordered_quantity = 200.</x:v>
      </x:c>
      <x:c r="V37" s="36" t="str">
        <x:v>None.</x:v>
      </x:c>
    </x:row>
    <x:row r="38" ht="48" customHeight="1">
      <x:c r="A38" s="36" t="str">
        <x:v>TC-GR-03</x:v>
      </x:c>
      <x:c r="B38" s="36" t="str">
        <x:v>Goods Receipt Testing</x:v>
      </x:c>
      <x:c r="C38" s="36" t="str">
        <x:v>Verify line with full receipt quantity shows as COMPLETED.</x:v>
      </x:c>
      <x:c r="D38" s="36" t="str">
        <x:v>Search / PO Detail</x:v>
      </x:c>
      <x:c r="E38" s="36" t="str">
        <x:v>PO 4500002003</x:v>
      </x:c>
      <x:c r="F38" s="36" t="str">
        <x:v>High</x:v>
      </x:c>
      <x:c r="G38" s="36" t="str">
        <x:v>Not Started</x:v>
      </x:c>
      <x:c r="H38" s="36" t="str"/>
      <x:c r="I38" s="36" t="str"/>
      <x:c r="J38" s="36" t="str"/>
      <x:c r="K38" s="36" t="str"/>
      <x:c r="L38" s="36" t="str"/>
      <x:c r="M38" s="36" t="str">
        <x:v>Not Retested</x:v>
      </x:c>
      <x:c r="N38" s="36" t="str"/>
      <x:c r="O38" s="36" t="str">
        <x:v>View PO 4500002003.</x:v>
      </x:c>
      <x:c r="P38" s="36" t="str">
        <x:v>GR Status is COMPLETED or "Fully Received".</x:v>
      </x:c>
      <x:c r="Q38" s="36" t="str">
        <x:v>Confirm quantities match.</x:v>
      </x:c>
      <x:c r="R38" s="36" t="str">
        <x:v>received_quantity, ordered_quantity, gr_status</x:v>
      </x:c>
      <x:c r="S38" s="36" t="str">
        <x:v>Status is completed.</x:v>
      </x:c>
      <x:c r="T38" s="36" t="str">
        <x:v>Status is partial.</x:v>
      </x:c>
      <x:c r="U38" s="36" t="str">
        <x:v>received_quantity = 150, ordered_quantity = 150.</x:v>
      </x:c>
      <x:c r="V38" s="36" t="str">
        <x:v>None.</x:v>
      </x:c>
    </x:row>
    <x:row r="39" ht="48" customHeight="1">
      <x:c r="A39" s="36" t="str">
        <x:v>TC-GR-04</x:v>
      </x:c>
      <x:c r="B39" s="36" t="str">
        <x:v>Goods Receipt Testing</x:v>
      </x:c>
      <x:c r="C39" s="36" t="str">
        <x:v>Verify over-receipt alerts are triggered.</x:v>
      </x:c>
      <x:c r="D39" s="36" t="str">
        <x:v>Search / Exceptions view</x:v>
      </x:c>
      <x:c r="E39" s="36" t="str">
        <x:v>PO 4500002028</x:v>
      </x:c>
      <x:c r="F39" s="36" t="str">
        <x:v>High</x:v>
      </x:c>
      <x:c r="G39" s="36" t="str">
        <x:v>Not Started</x:v>
      </x:c>
      <x:c r="H39" s="36" t="str"/>
      <x:c r="I39" s="36" t="str"/>
      <x:c r="J39" s="36" t="str"/>
      <x:c r="K39" s="36" t="str"/>
      <x:c r="L39" s="36" t="str"/>
      <x:c r="M39" s="36" t="str">
        <x:v>Not Retested</x:v>
      </x:c>
      <x:c r="N39" s="36" t="str"/>
      <x:c r="O39" s="36" t="str">
        <x:v>Search for PO 4500002028.</x:v>
      </x:c>
      <x:c r="P39" s="36" t="str">
        <x:v>Displays GR Status as COMPLETED but triggers a quantity variance exception warning.</x:v>
      </x:c>
      <x:c r="Q39" s="36" t="str">
        <x:v>Confirm receipt exceeds order.</x:v>
      </x:c>
      <x:c r="R39" s="36" t="str">
        <x:v>received_quantity, ordered_quantity, exception_reason</x:v>
      </x:c>
      <x:c r="S39" s="36" t="str">
        <x:v>Quantity variance is flagged.</x:v>
      </x:c>
      <x:c r="T39" s="36" t="str">
        <x:v>Accepted silently without warning.</x:v>
      </x:c>
      <x:c r="U39" s="36" t="str">
        <x:v>received_quantity = 120, ordered_quantity = 100.</x:v>
      </x:c>
      <x:c r="V39" s="36" t="str">
        <x:v>Over-receipts represent an AP audit risk.</x:v>
      </x:c>
    </x:row>
    <x:row r="40" ht="48" customHeight="1">
      <x:c r="A40" s="36" t="str">
        <x:v>TC-GR-05</x:v>
      </x:c>
      <x:c r="B40" s="36" t="str">
        <x:v>Goods Receipt Testing</x:v>
      </x:c>
      <x:c r="C40" s="36" t="str">
        <x:v>Verify late receipt tracking.</x:v>
      </x:c>
      <x:c r="D40" s="36" t="str">
        <x:v>Supplier Analytics</x:v>
      </x:c>
      <x:c r="E40" s="36" t="str">
        <x:v>PO 4500002002</x:v>
      </x:c>
      <x:c r="F40" s="36" t="str">
        <x:v>Low</x:v>
      </x:c>
      <x:c r="G40" s="36" t="str">
        <x:v>Not Started</x:v>
      </x:c>
      <x:c r="H40" s="36" t="str"/>
      <x:c r="I40" s="36" t="str"/>
      <x:c r="J40" s="36" t="str"/>
      <x:c r="K40" s="36" t="str"/>
      <x:c r="L40" s="36" t="str"/>
      <x:c r="M40" s="36" t="str">
        <x:v>Not Retested</x:v>
      </x:c>
      <x:c r="N40" s="36" t="str"/>
      <x:c r="O40" s="36" t="str">
        <x:v>Check delivery performance logs for the supplier.</x:v>
      </x:c>
      <x:c r="P40" s="36" t="str">
        <x:v>Flagged as late or impact is visible on supplier's OTD% scorecard.</x:v>
      </x:c>
      <x:c r="Q40" s="36" t="str">
        <x:v>Compare actual receipt timestamp with delivery date.</x:v>
      </x:c>
      <x:c r="R40" s="36" t="str">
        <x:v>delivery_date, gr_status</x:v>
      </x:c>
      <x:c r="S40" s="36" t="str">
        <x:v>Late delivery is captured in KPIs.</x:v>
      </x:c>
      <x:c r="T40" s="36" t="str">
        <x:v>Ignored.</x:v>
      </x:c>
      <x:c r="U40" s="36" t="str">
        <x:v>Historical delivery date June 5, 2026.</x:v>
      </x:c>
      <x:c r="V40" s="36" t="str">
        <x:v>None.</x:v>
      </x:c>
    </x:row>
    <x:row r="41" ht="48" customHeight="1">
      <x:c r="A41" s="36" t="str">
        <x:v>TC-GR-06</x:v>
      </x:c>
      <x:c r="B41" s="36" t="str">
        <x:v>Goods Receipt Testing</x:v>
      </x:c>
      <x:c r="C41" s="36" t="str">
        <x:v>Validate alert for past-due line with zero receipts.</x:v>
      </x:c>
      <x:c r="D41" s="36" t="str">
        <x:v>Overdue Workbench</x:v>
      </x:c>
      <x:c r="E41" s="36" t="str">
        <x:v>PO 4500002024</x:v>
      </x:c>
      <x:c r="F41" s="36" t="str">
        <x:v>High</x:v>
      </x:c>
      <x:c r="G41" s="36" t="str">
        <x:v>Not Started</x:v>
      </x:c>
      <x:c r="H41" s="36" t="str"/>
      <x:c r="I41" s="36" t="str"/>
      <x:c r="J41" s="36" t="str"/>
      <x:c r="K41" s="36" t="str"/>
      <x:c r="L41" s="36" t="str"/>
      <x:c r="M41" s="36" t="str">
        <x:v>Not Retested</x:v>
      </x:c>
      <x:c r="N41" s="36" t="str"/>
      <x:c r="O41" s="36" t="str">
        <x:v>Look for PO 4500002024.</x:v>
      </x:c>
      <x:c r="P41" s="36" t="str">
        <x:v>Appears as overdue with zero goods received.</x:v>
      </x:c>
      <x:c r="Q41" s="36" t="str">
        <x:v>Confirm overdue criteria and 0 receipts.</x:v>
      </x:c>
      <x:c r="R41" s="36" t="str">
        <x:v>delivery_date, received_quantity</x:v>
      </x:c>
      <x:c r="S41" s="36" t="str">
        <x:v>Flagged in overdue.</x:v>
      </x:c>
      <x:c r="T41" s="36" t="str">
        <x:v>Excluded.</x:v>
      </x:c>
      <x:c r="U41" s="36" t="str">
        <x:v>Delivery date: June 1, 2026. Received: 0.</x:v>
      </x:c>
      <x:c r="V41" s="36" t="str">
        <x:v>None.</x:v>
      </x:c>
    </x:row>
    <x:row r="42" ht="48" customHeight="1">
      <x:c r="A42" s="36" t="str">
        <x:v>TC-GR-07</x:v>
      </x:c>
      <x:c r="B42" s="36" t="str">
        <x:v>Goods Receipt Testing</x:v>
      </x:c>
      <x:c r="C42" s="36" t="str">
        <x:v>Verify open quantity calculations for over-receipt.</x:v>
      </x:c>
      <x:c r="D42" s="36" t="str">
        <x:v>Search / PO Detail</x:v>
      </x:c>
      <x:c r="E42" s="36" t="str">
        <x:v>PO 4500002028</x:v>
      </x:c>
      <x:c r="F42" s="36" t="str">
        <x:v>High</x:v>
      </x:c>
      <x:c r="G42" s="36" t="str">
        <x:v>Not Started</x:v>
      </x:c>
      <x:c r="H42" s="36" t="str"/>
      <x:c r="I42" s="36" t="str"/>
      <x:c r="J42" s="36" t="str"/>
      <x:c r="K42" s="36" t="str"/>
      <x:c r="L42" s="36" t="str"/>
      <x:c r="M42" s="36" t="str">
        <x:v>Not Retested</x:v>
      </x:c>
      <x:c r="N42" s="36" t="str"/>
      <x:c r="O42" s="36" t="str">
        <x:v>View PO 4500002028.</x:v>
      </x:c>
      <x:c r="P42" s="36" t="str">
        <x:v>Open Qty shows -20 (or 0 depending on system override), and the line is not counted as active open.</x:v>
      </x:c>
      <x:c r="Q42" s="36" t="str">
        <x:v>Verify 100 - 120 = -20.</x:v>
      </x:c>
      <x:c r="R42" s="36" t="str">
        <x:v>open_quantity</x:v>
      </x:c>
      <x:c r="S42" s="36" t="str">
        <x:v>Excluded from positive open quantities and open value sums.</x:v>
      </x:c>
      <x:c r="T42" s="36" t="str">
        <x:v>System crashes or adds negative values to dashboard spend totals.</x:v>
      </x:c>
      <x:c r="U42" s="36" t="str">
        <x:v>received_quantity = 120, ordered_quantity = 100.</x:v>
      </x:c>
      <x:c r="V42" s="36" t="str">
        <x:v>Over-received lines are excluded from open PO line counts.</x:v>
      </x:c>
    </x:row>
    <x:row r="43" ht="48" customHeight="1">
      <x:c r="A43" s="36" t="str">
        <x:v>TC-IV-01</x:v>
      </x:c>
      <x:c r="B43" s="36" t="str">
        <x:v>Invoice / GRIR Testing</x:v>
      </x:c>
      <x:c r="C43" s="36" t="str">
        <x:v>Verify invoice status is pending when invoiced quantity is zero.</x:v>
      </x:c>
      <x:c r="D43" s="36" t="str">
        <x:v>PO Detail</x:v>
      </x:c>
      <x:c r="E43" s="36" t="str">
        <x:v>PO 4500002001</x:v>
      </x:c>
      <x:c r="F43" s="36" t="str">
        <x:v>Medium</x:v>
      </x:c>
      <x:c r="G43" s="36" t="str">
        <x:v>Not Started</x:v>
      </x:c>
      <x:c r="H43" s="36" t="str"/>
      <x:c r="I43" s="36" t="str"/>
      <x:c r="J43" s="36" t="str"/>
      <x:c r="K43" s="36" t="str"/>
      <x:c r="L43" s="36" t="str"/>
      <x:c r="M43" s="36" t="str">
        <x:v>Not Retested</x:v>
      </x:c>
      <x:c r="N43" s="36" t="str"/>
      <x:c r="O43" s="36" t="str">
        <x:v>View PO 4500002001.</x:v>
      </x:c>
      <x:c r="P43" s="36" t="str">
        <x:v>Invoice status is PENDING.</x:v>
      </x:c>
      <x:c r="Q43" s="36" t="str">
        <x:v>Confirm invoiced qty is 0.</x:v>
      </x:c>
      <x:c r="R43" s="36" t="str">
        <x:v>invoiced_quantity, invoice_status</x:v>
      </x:c>
      <x:c r="S43" s="36" t="str">
        <x:v>Status is pending.</x:v>
      </x:c>
      <x:c r="T43" s="36" t="str">
        <x:v>Shows invoiced.</x:v>
      </x:c>
      <x:c r="U43" s="36" t="str">
        <x:v>invoiced_quantity = 0.</x:v>
      </x:c>
      <x:c r="V43" s="36" t="str">
        <x:v>None.</x:v>
      </x:c>
    </x:row>
    <x:row r="44" ht="48" customHeight="1">
      <x:c r="A44" s="36" t="str">
        <x:v>TC-IV-02</x:v>
      </x:c>
      <x:c r="B44" s="36" t="str">
        <x:v>Invoice / GRIR Testing</x:v>
      </x:c>
      <x:c r="C44" s="36" t="str">
        <x:v>Verify invoice status is partial.</x:v>
      </x:c>
      <x:c r="D44" s="36" t="str">
        <x:v>PO Detail</x:v>
      </x:c>
      <x:c r="E44" s="36" t="str">
        <x:v>PO 4500002002</x:v>
      </x:c>
      <x:c r="F44" s="36" t="str">
        <x:v>High</x:v>
      </x:c>
      <x:c r="G44" s="36" t="str">
        <x:v>Not Started</x:v>
      </x:c>
      <x:c r="H44" s="36" t="str"/>
      <x:c r="I44" s="36" t="str"/>
      <x:c r="J44" s="36" t="str"/>
      <x:c r="K44" s="36" t="str"/>
      <x:c r="L44" s="36" t="str"/>
      <x:c r="M44" s="36" t="str">
        <x:v>Not Retested</x:v>
      </x:c>
      <x:c r="N44" s="36" t="str"/>
      <x:c r="O44" s="36" t="str">
        <x:v>View PO 4500002002.</x:v>
      </x:c>
      <x:c r="P44" s="36" t="str">
        <x:v>Invoice status is PARTIAL or "Partially Invoiced".</x:v>
      </x:c>
      <x:c r="Q44" s="36" t="str">
        <x:v>Confirm invoiced &lt; ordered.</x:v>
      </x:c>
      <x:c r="R44" s="36" t="str">
        <x:v>invoiced_quantity, invoice_status</x:v>
      </x:c>
      <x:c r="S44" s="36" t="str">
        <x:v>Status is partial.</x:v>
      </x:c>
      <x:c r="T44" s="36" t="str">
        <x:v>Shows completed or pending.</x:v>
      </x:c>
      <x:c r="U44" s="36" t="str">
        <x:v>invoiced_quantity = 80, ordered_quantity = 200.</x:v>
      </x:c>
      <x:c r="V44" s="36" t="str">
        <x:v>None.</x:v>
      </x:c>
    </x:row>
    <x:row r="45" ht="48" customHeight="1">
      <x:c r="A45" s="36" t="str">
        <x:v>TC-IV-03</x:v>
      </x:c>
      <x:c r="B45" s="36" t="str">
        <x:v>Invoice / GRIR Testing</x:v>
      </x:c>
      <x:c r="C45" s="36" t="str">
        <x:v>Verify invoice status is complete.</x:v>
      </x:c>
      <x:c r="D45" s="36" t="str">
        <x:v>PO Detail</x:v>
      </x:c>
      <x:c r="E45" s="36" t="str">
        <x:v>PO 4500002003</x:v>
      </x:c>
      <x:c r="F45" s="36" t="str">
        <x:v>High</x:v>
      </x:c>
      <x:c r="G45" s="36" t="str">
        <x:v>Not Started</x:v>
      </x:c>
      <x:c r="H45" s="36" t="str"/>
      <x:c r="I45" s="36" t="str"/>
      <x:c r="J45" s="36" t="str"/>
      <x:c r="K45" s="36" t="str"/>
      <x:c r="L45" s="36" t="str"/>
      <x:c r="M45" s="36" t="str">
        <x:v>Not Retested</x:v>
      </x:c>
      <x:c r="N45" s="36" t="str"/>
      <x:c r="O45" s="36" t="str">
        <x:v>View PO 4500002003.</x:v>
      </x:c>
      <x:c r="P45" s="36" t="str">
        <x:v>Invoice status is COMPLETED or "Fully Invoiced".</x:v>
      </x:c>
      <x:c r="Q45" s="36" t="str">
        <x:v>Confirm quantities match.</x:v>
      </x:c>
      <x:c r="R45" s="36" t="str">
        <x:v>invoiced_quantity, invoice_status</x:v>
      </x:c>
      <x:c r="S45" s="36" t="str">
        <x:v>Status is completed.</x:v>
      </x:c>
      <x:c r="T45" s="36" t="str">
        <x:v>Shows partial.</x:v>
      </x:c>
      <x:c r="U45" s="36" t="str">
        <x:v>invoiced_quantity = 150, ordered_quantity = 150.</x:v>
      </x:c>
      <x:c r="V45" s="36" t="str">
        <x:v>None.</x:v>
      </x:c>
    </x:row>
    <x:row r="46" ht="48" customHeight="1">
      <x:c r="A46" s="36" t="str">
        <x:v>TC-IV-04</x:v>
      </x:c>
      <x:c r="B46" s="36" t="str">
        <x:v>Invoice / GRIR Testing</x:v>
      </x:c>
      <x:c r="C46" s="36" t="str">
        <x:v>Verify invoice blocked flag triggers AP block.</x:v>
      </x:c>
      <x:c r="D46" s="36" t="str">
        <x:v>Search / Invoice Review</x:v>
      </x:c>
      <x:c r="E46" s="36" t="str">
        <x:v>PO 4500002012</x:v>
      </x:c>
      <x:c r="F46" s="36" t="str">
        <x:v>High</x:v>
      </x:c>
      <x:c r="G46" s="36" t="str">
        <x:v>Not Started</x:v>
      </x:c>
      <x:c r="H46" s="36" t="str"/>
      <x:c r="I46" s="36" t="str"/>
      <x:c r="J46" s="36" t="str"/>
      <x:c r="K46" s="36" t="str"/>
      <x:c r="L46" s="36" t="str"/>
      <x:c r="M46" s="36" t="str">
        <x:v>Not Retested</x:v>
      </x:c>
      <x:c r="N46" s="36" t="str"/>
      <x:c r="O46" s="36" t="str">
        <x:v>Search for PO 4500002012.</x:v>
      </x:c>
      <x:c r="P46" s="36" t="str">
        <x:v>Displays invoice status as INVOICED_BLOCKED with warning badge.</x:v>
      </x:c>
      <x:c r="Q46" s="36" t="str">
        <x:v>Confirm block flag in source.</x:v>
      </x:c>
      <x:c r="R46" s="36" t="str">
        <x:v>invoice_blocked_flag, invoice_status</x:v>
      </x:c>
      <x:c r="S46" s="36" t="str">
        <x:v>System flags the line as invoice blocked.</x:v>
      </x:c>
      <x:c r="T46" s="36" t="str">
        <x:v>Shows as standard invoiced.</x:v>
      </x:c>
      <x:c r="U46" s="36" t="str">
        <x:v>invoice_blocked_flag == Y.</x:v>
      </x:c>
      <x:c r="V46" s="36" t="str">
        <x:v>None.</x:v>
      </x:c>
    </x:row>
    <x:row r="47" ht="48" customHeight="1">
      <x:c r="A47" s="36" t="str">
        <x:v>TC-IV-05</x:v>
      </x:c>
      <x:c r="B47" s="36" t="str">
        <x:v>Invoice / GRIR Testing</x:v>
      </x:c>
      <x:c r="C47" s="36" t="str">
        <x:v>Verify alert when GR is completed but invoice is missing.</x:v>
      </x:c>
      <x:c r="D47" s="36" t="str">
        <x:v>Search / Exceptions view</x:v>
      </x:c>
      <x:c r="E47" s="36" t="str">
        <x:v>PO 4500002013</x:v>
      </x:c>
      <x:c r="F47" s="36" t="str">
        <x:v>High</x:v>
      </x:c>
      <x:c r="G47" s="36" t="str">
        <x:v>Not Started</x:v>
      </x:c>
      <x:c r="H47" s="36" t="str"/>
      <x:c r="I47" s="36" t="str"/>
      <x:c r="J47" s="36" t="str"/>
      <x:c r="K47" s="36" t="str"/>
      <x:c r="L47" s="36" t="str"/>
      <x:c r="M47" s="36" t="str">
        <x:v>Not Retested</x:v>
      </x:c>
      <x:c r="N47" s="36" t="str"/>
      <x:c r="O47" s="36" t="str">
        <x:v>Search for PO 4500002013.</x:v>
      </x:c>
      <x:c r="P47" s="36" t="str">
        <x:v>Displays exception note: "GR Done, Invoice Missing".</x:v>
      </x:c>
      <x:c r="Q47" s="36" t="str">
        <x:v>Confirm GR qty &gt; 0 and invoice qty is 0.</x:v>
      </x:c>
      <x:c r="R47" s="36" t="str">
        <x:v>received_quantity, invoiced_quantity, exception_reason</x:v>
      </x:c>
      <x:c r="S47" s="36" t="str">
        <x:v>Exception is correctly flagged.</x:v>
      </x:c>
      <x:c r="T47" s="36" t="str">
        <x:v>Ignored.</x:v>
      </x:c>
      <x:c r="U47" s="36" t="str">
        <x:v>received_quantity = 250, invoiced_quantity = 0.</x:v>
      </x:c>
      <x:c r="V47" s="36" t="str">
        <x:v>Represents unbilled liability.</x:v>
      </x:c>
    </x:row>
    <x:row r="48" ht="48" customHeight="1">
      <x:c r="A48" s="36" t="str">
        <x:v>TC-IV-06</x:v>
      </x:c>
      <x:c r="B48" s="36" t="str">
        <x:v>Invoice / GRIR Testing</x:v>
      </x:c>
      <x:c r="C48" s="36" t="str">
        <x:v>Verify alert when invoice is posted before physical goods receipt.</x:v>
      </x:c>
      <x:c r="D48" s="36" t="str">
        <x:v>Search / Invoice Blocked queue</x:v>
      </x:c>
      <x:c r="E48" s="36" t="str">
        <x:v>PO 4500002014</x:v>
      </x:c>
      <x:c r="F48" s="36" t="str">
        <x:v>Critical</x:v>
      </x:c>
      <x:c r="G48" s="36" t="str">
        <x:v>Not Started</x:v>
      </x:c>
      <x:c r="H48" s="36" t="str"/>
      <x:c r="I48" s="36" t="str"/>
      <x:c r="J48" s="36" t="str"/>
      <x:c r="K48" s="36" t="str"/>
      <x:c r="L48" s="36" t="str"/>
      <x:c r="M48" s="36" t="str">
        <x:v>Not Retested</x:v>
      </x:c>
      <x:c r="N48" s="36" t="str"/>
      <x:c r="O48" s="36" t="str">
        <x:v>Search for PO 4500002014.</x:v>
      </x:c>
      <x:c r="P48" s="36" t="str">
        <x:v>Displays exception: "Invoice Before GR (GR/IR Mismatch)".</x:v>
      </x:c>
      <x:c r="Q48" s="36" t="str">
        <x:v>Confirm invoice qty &gt; receipt qty.</x:v>
      </x:c>
      <x:c r="R48" s="36" t="str">
        <x:v>invoiced_quantity, received_quantity, exception_reason</x:v>
      </x:c>
      <x:c r="S48" s="36" t="str">
        <x:v>Block is flagged and exception matches.</x:v>
      </x:c>
      <x:c r="T48" s="36" t="str">
        <x:v>Accepted as clean invoiced.</x:v>
      </x:c>
      <x:c r="U48" s="36" t="str">
        <x:v>invoiced_quantity = 1000, received_quantity = 0.</x:v>
      </x:c>
      <x:c r="V48" s="36" t="str">
        <x:v>Major audit compliance issue.</x:v>
      </x:c>
    </x:row>
    <x:row r="49" ht="48" customHeight="1">
      <x:c r="A49" s="36" t="str">
        <x:v>TC-IV-07</x:v>
      </x:c>
      <x:c r="B49" s="36" t="str">
        <x:v>Invoice / GRIR Testing</x:v>
      </x:c>
      <x:c r="C49" s="36" t="str">
        <x:v>Verify price variance calculation.</x:v>
      </x:c>
      <x:c r="D49" s="36" t="str">
        <x:v>Invoice Review</x:v>
      </x:c>
      <x:c r="E49" s="36" t="str">
        <x:v>PO 4500002012</x:v>
      </x:c>
      <x:c r="F49" s="36" t="str">
        <x:v>High</x:v>
      </x:c>
      <x:c r="G49" s="36" t="str">
        <x:v>Not Started</x:v>
      </x:c>
      <x:c r="H49" s="36" t="str"/>
      <x:c r="I49" s="36" t="str"/>
      <x:c r="J49" s="36" t="str"/>
      <x:c r="K49" s="36" t="str"/>
      <x:c r="L49" s="36" t="str"/>
      <x:c r="M49" s="36" t="str">
        <x:v>Not Retested</x:v>
      </x:c>
      <x:c r="N49" s="36" t="str"/>
      <x:c r="O49" s="36" t="str">
        <x:v>Open details for PO 4500002012.</x:v>
      </x:c>
      <x:c r="P49" s="36" t="str">
        <x:v>Shows price variance amount of $1,250.00.</x:v>
      </x:c>
      <x:c r="Q49" s="36" t="str">
        <x:v>Compare with mock data price variance field.</x:v>
      </x:c>
      <x:c r="R49" s="36" t="str">
        <x:v>price_variance</x:v>
      </x:c>
      <x:c r="S49" s="36" t="str">
        <x:v>Variance matches source.</x:v>
      </x:c>
      <x:c r="T49" s="36" t="str">
        <x:v>Mismatch.</x:v>
      </x:c>
      <x:c r="U49" s="36" t="str">
        <x:v>price_variance &gt; 0.</x:v>
      </x:c>
      <x:c r="V49" s="36" t="str">
        <x:v>None.</x:v>
      </x:c>
    </x:row>
    <x:row r="50" ht="48" customHeight="1">
      <x:c r="A50" s="36" t="str">
        <x:v>TC-IV-08</x:v>
      </x:c>
      <x:c r="B50" s="36" t="str">
        <x:v>Invoice / GRIR Testing</x:v>
      </x:c>
      <x:c r="C50" s="36" t="str">
        <x:v>Verify quantity variance calculation.</x:v>
      </x:c>
      <x:c r="D50" s="36" t="str">
        <x:v>Invoice Review</x:v>
      </x:c>
      <x:c r="E50" s="36" t="str">
        <x:v>PO 4500002014</x:v>
      </x:c>
      <x:c r="F50" s="36" t="str">
        <x:v>High</x:v>
      </x:c>
      <x:c r="G50" s="36" t="str">
        <x:v>Not Started</x:v>
      </x:c>
      <x:c r="H50" s="36" t="str"/>
      <x:c r="I50" s="36" t="str"/>
      <x:c r="J50" s="36" t="str"/>
      <x:c r="K50" s="36" t="str"/>
      <x:c r="L50" s="36" t="str"/>
      <x:c r="M50" s="36" t="str">
        <x:v>Not Retested</x:v>
      </x:c>
      <x:c r="N50" s="36" t="str"/>
      <x:c r="O50" s="36" t="str">
        <x:v>Open details for PO 4500002014.</x:v>
      </x:c>
      <x:c r="P50" s="36" t="str">
        <x:v>Shows quantity variance of 1000 units.</x:v>
      </x:c>
      <x:c r="Q50" s="36" t="str">
        <x:v>Compare with source data field.</x:v>
      </x:c>
      <x:c r="R50" s="36" t="str">
        <x:v>quantity_variance</x:v>
      </x:c>
      <x:c r="S50" s="36" t="str">
        <x:v>Variance matches source.</x:v>
      </x:c>
      <x:c r="T50" s="36" t="str">
        <x:v>Mismatch.</x:v>
      </x:c>
      <x:c r="U50" s="36" t="str">
        <x:v>quantity_variance &gt; 0.</x:v>
      </x:c>
      <x:c r="V50" s="36" t="str">
        <x:v>None.</x:v>
      </x:c>
    </x:row>
    <x:row r="51" ht="48" customHeight="1">
      <x:c r="A51" s="36" t="str">
        <x:v>TC-IV-09</x:v>
      </x:c>
      <x:c r="B51" s="36" t="str">
        <x:v>Invoice / GRIR Testing</x:v>
      </x:c>
      <x:c r="C51" s="36" t="str">
        <x:v>Verify currency mismatch exception is triggered.</x:v>
      </x:c>
      <x:c r="D51" s="36" t="str">
        <x:v>Exceptions view</x:v>
      </x:c>
      <x:c r="E51" s="36" t="str">
        <x:v>PO 4500002019</x:v>
      </x:c>
      <x:c r="F51" s="36" t="str">
        <x:v>Medium</x:v>
      </x:c>
      <x:c r="G51" s="36" t="str">
        <x:v>Not Started</x:v>
      </x:c>
      <x:c r="H51" s="36" t="str"/>
      <x:c r="I51" s="36" t="str"/>
      <x:c r="J51" s="36" t="str"/>
      <x:c r="K51" s="36" t="str"/>
      <x:c r="L51" s="36" t="str"/>
      <x:c r="M51" s="36" t="str">
        <x:v>Not Retested</x:v>
      </x:c>
      <x:c r="N51" s="36" t="str"/>
      <x:c r="O51" s="36" t="str">
        <x:v>View PO 4500002019.</x:v>
      </x:c>
      <x:c r="P51" s="36" t="str">
        <x:v>Displays warning if currency conflicts with domestic rules.</x:v>
      </x:c>
      <x:c r="Q51" s="36" t="str">
        <x:v>Compare PO currency with company code headquarters rules.</x:v>
      </x:c>
      <x:c r="R51" s="36" t="str">
        <x:v>currency, company_code</x:v>
      </x:c>
      <x:c r="S51" s="36" t="str">
        <x:v>Handles currency difference.</x:v>
      </x:c>
      <x:c r="T51" s="36" t="str">
        <x:v>Displays wrong currency symbol or converts value incorrectly.</x:v>
      </x:c>
      <x:c r="U51" s="36" t="str">
        <x:v>PO in EUR, company code US.</x:v>
      </x:c>
      <x:c r="V51" s="36" t="str">
        <x:v>None.</x:v>
      </x:c>
    </x:row>
    <x:row r="52" ht="48" customHeight="1">
      <x:c r="A52" s="36" t="str">
        <x:v>TC-IV-10</x:v>
      </x:c>
      <x:c r="B52" s="36" t="str">
        <x:v>Invoice / GRIR Testing</x:v>
      </x:c>
      <x:c r="C52" s="36" t="str">
        <x:v>Verify alert when invoice value exceeds PO line value.</x:v>
      </x:c>
      <x:c r="D52" s="36" t="str">
        <x:v>Search / Invoice Blocked queue</x:v>
      </x:c>
      <x:c r="E52" s="36" t="str">
        <x:v>PO 4500002025</x:v>
      </x:c>
      <x:c r="F52" s="36" t="str">
        <x:v>High</x:v>
      </x:c>
      <x:c r="G52" s="36" t="str">
        <x:v>Not Started</x:v>
      </x:c>
      <x:c r="H52" s="36" t="str"/>
      <x:c r="I52" s="36" t="str"/>
      <x:c r="J52" s="36" t="str"/>
      <x:c r="K52" s="36" t="str"/>
      <x:c r="L52" s="36" t="str"/>
      <x:c r="M52" s="36" t="str">
        <x:v>Not Retested</x:v>
      </x:c>
      <x:c r="N52" s="36" t="str"/>
      <x:c r="O52" s="36" t="str">
        <x:v>Open details for PO 4500002025.</x:v>
      </x:c>
      <x:c r="P52" s="36" t="str">
        <x:v>Flags price block warning for high-value variance.</x:v>
      </x:c>
      <x:c r="Q52" s="36" t="str">
        <x:v>Check if block flag is true and price variance is present.</x:v>
      </x:c>
      <x:c r="R52" s="36" t="str">
        <x:v>invoice_blocked_flag, price_variance</x:v>
      </x:c>
      <x:c r="S52" s="36" t="str">
        <x:v>Block is displayed.</x:v>
      </x:c>
      <x:c r="T52" s="36" t="str">
        <x:v>Block is missing.</x:v>
      </x:c>
      <x:c r="U52" s="36" t="str">
        <x:v>price_variance = 5000 EUR.</x:v>
      </x:c>
      <x:c r="V52" s="36" t="str">
        <x:v>None.</x:v>
      </x:c>
    </x:row>
    <x:row r="53" ht="48" customHeight="1">
      <x:c r="A53" s="36" t="str">
        <x:v>TC-AK-01</x:v>
      </x:c>
      <x:c r="B53" s="36" t="str">
        <x:v>Supplier Acknowledgement Testing</x:v>
      </x:c>
      <x:c r="C53" s="36" t="str">
        <x:v>Verify missing ack exception is raised.</x:v>
      </x:c>
      <x:c r="D53" s="36" t="str">
        <x:v>Acknowledgement Workbench</x:v>
      </x:c>
      <x:c r="E53" s="36" t="str">
        <x:v>PO 4500002006</x:v>
      </x:c>
      <x:c r="F53" s="36" t="str">
        <x:v>Critical</x:v>
      </x:c>
      <x:c r="G53" s="36" t="str">
        <x:v>Not Started</x:v>
      </x:c>
      <x:c r="H53" s="36" t="str"/>
      <x:c r="I53" s="36" t="str"/>
      <x:c r="J53" s="36" t="str"/>
      <x:c r="K53" s="36" t="str"/>
      <x:c r="L53" s="36" t="str"/>
      <x:c r="M53" s="36" t="str">
        <x:v>Not Retested</x:v>
      </x:c>
      <x:c r="N53" s="36" t="str"/>
      <x:c r="O53" s="36" t="str">
        <x:v>Search for PO 4500002006 in Acknowledgement Workbench.</x:v>
      </x:c>
      <x:c r="P53" s="36" t="str">
        <x:v>Appears as "Missing Confirmation".</x:v>
      </x:c>
      <x:c r="Q53" s="36" t="str">
        <x:v>Confirm required is Y and actual date is null.</x:v>
      </x:c>
      <x:c r="R53" s="36" t="str">
        <x:v>acknowledgement_required, acknowledgement_date</x:v>
      </x:c>
      <x:c r="S53" s="36" t="str">
        <x:v>Listed as missing.</x:v>
      </x:c>
      <x:c r="T53" s="36" t="str">
        <x:v>Excluded.</x:v>
      </x:c>
      <x:c r="U53" s="36" t="str">
        <x:v>acknowledgement_required == Y and acknowledgement_date is null.</x:v>
      </x:c>
      <x:c r="V53" s="36" t="str">
        <x:v>None.</x:v>
      </x:c>
    </x:row>
    <x:row r="54" ht="48" customHeight="1">
      <x:c r="A54" s="36" t="str">
        <x:v>TC-AK-02</x:v>
      </x:c>
      <x:c r="B54" s="36" t="str">
        <x:v>Supplier Acknowledgement Testing</x:v>
      </x:c>
      <x:c r="C54" s="36" t="str">
        <x:v>Verify acknowledged lines are marked correctly.</x:v>
      </x:c>
      <x:c r="D54" s="36" t="str">
        <x:v>Acknowledgement Workbench</x:v>
      </x:c>
      <x:c r="E54" s="36" t="str">
        <x:v>PO 4500002002</x:v>
      </x:c>
      <x:c r="F54" s="36" t="str">
        <x:v>High</x:v>
      </x:c>
      <x:c r="G54" s="36" t="str">
        <x:v>Not Started</x:v>
      </x:c>
      <x:c r="H54" s="36" t="str"/>
      <x:c r="I54" s="36" t="str"/>
      <x:c r="J54" s="36" t="str"/>
      <x:c r="K54" s="36" t="str"/>
      <x:c r="L54" s="36" t="str"/>
      <x:c r="M54" s="36" t="str">
        <x:v>Not Retested</x:v>
      </x:c>
      <x:c r="N54" s="36" t="str"/>
      <x:c r="O54" s="36" t="str">
        <x:v>Search for PO 4500002002 in Acknowledgement lists.</x:v>
      </x:c>
      <x:c r="P54" s="36" t="str">
        <x:v>Shows status as confirmed/acknowledged, with date 2026-05-03.</x:v>
      </x:c>
      <x:c r="Q54" s="36" t="str">
        <x:v>Compare actual date with source.</x:v>
      </x:c>
      <x:c r="R54" s="36" t="str">
        <x:v>acknowledgement_date</x:v>
      </x:c>
      <x:c r="S54" s="36" t="str">
        <x:v>Matches date.</x:v>
      </x:c>
      <x:c r="T54" s="36" t="str">
        <x:v>Shows wrong date.</x:v>
      </x:c>
      <x:c r="U54" s="36" t="str">
        <x:v>acknowledgement_date is not null.</x:v>
      </x:c>
      <x:c r="V54" s="36" t="str">
        <x:v>None.</x:v>
      </x:c>
    </x:row>
    <x:row r="55" ht="48" customHeight="1">
      <x:c r="A55" s="36" t="str">
        <x:v>TC-AK-03</x:v>
      </x:c>
      <x:c r="B55" s="36" t="str">
        <x:v>Supplier Acknowledgement Testing</x:v>
      </x:c>
      <x:c r="C55" s="36" t="str">
        <x:v>Ensure no missing ack exception is raised if ack is not required.</x:v>
      </x:c>
      <x:c r="D55" s="36" t="str">
        <x:v>Acknowledgement Workbench</x:v>
      </x:c>
      <x:c r="E55" s="36" t="str">
        <x:v>PO 4500002011</x:v>
      </x:c>
      <x:c r="F55" s="36" t="str">
        <x:v>Medium</x:v>
      </x:c>
      <x:c r="G55" s="36" t="str">
        <x:v>Not Started</x:v>
      </x:c>
      <x:c r="H55" s="36" t="str"/>
      <x:c r="I55" s="36" t="str"/>
      <x:c r="J55" s="36" t="str"/>
      <x:c r="K55" s="36" t="str"/>
      <x:c r="L55" s="36" t="str"/>
      <x:c r="M55" s="36" t="str">
        <x:v>Not Retested</x:v>
      </x:c>
      <x:c r="N55" s="36" t="str"/>
      <x:c r="O55" s="36" t="str">
        <x:v>Check if PO 4500002011 is flagged as missing confirmation.</x:v>
      </x:c>
      <x:c r="P55" s="36" t="str">
        <x:v>Absent from missing confirmation queues.</x:v>
      </x:c>
      <x:c r="Q55" s="36" t="str">
        <x:v>Confirm required is N.</x:v>
      </x:c>
      <x:c r="R55" s="36" t="str">
        <x:v>acknowledgement_required</x:v>
      </x:c>
      <x:c r="S55" s="36" t="str">
        <x:v>Excluded.</x:v>
      </x:c>
      <x:c r="T55" s="36" t="str">
        <x:v>Flagged as missing.</x:v>
      </x:c>
      <x:c r="U55" s="36" t="str">
        <x:v>acknowledgement_required == N.</x:v>
      </x:c>
      <x:c r="V55" s="36" t="str">
        <x:v>None.</x:v>
      </x:c>
    </x:row>
    <x:row r="56" ht="48" customHeight="1">
      <x:c r="A56" s="36" t="str">
        <x:v>TC-AK-04</x:v>
      </x:c>
      <x:c r="B56" s="36" t="str">
        <x:v>Supplier Acknowledgement Testing</x:v>
      </x:c>
      <x:c r="C56" s="36" t="str">
        <x:v>Verify late acknowledgements are flagged historically.</x:v>
      </x:c>
      <x:c r="D56" s="36" t="str">
        <x:v>Supplier Analytics</x:v>
      </x:c>
      <x:c r="E56" s="36" t="str">
        <x:v>PO 4500002007</x:v>
      </x:c>
      <x:c r="F56" s="36" t="str">
        <x:v>Low</x:v>
      </x:c>
      <x:c r="G56" s="36" t="str">
        <x:v>Not Started</x:v>
      </x:c>
      <x:c r="H56" s="36" t="str"/>
      <x:c r="I56" s="36" t="str"/>
      <x:c r="J56" s="36" t="str"/>
      <x:c r="K56" s="36" t="str"/>
      <x:c r="L56" s="36" t="str"/>
      <x:c r="M56" s="36" t="str">
        <x:v>Not Retested</x:v>
      </x:c>
      <x:c r="N56" s="36" t="str"/>
      <x:c r="O56" s="36" t="str">
        <x:v>Search for PO 4500002007 in supplier confirmation history.</x:v>
      </x:c>
      <x:c r="P56" s="36" t="str">
        <x:v>Flagged as late confirmation.</x:v>
      </x:c>
      <x:c r="Q56" s="36" t="str">
        <x:v>Confirm difference is greater than 3 days.</x:v>
      </x:c>
      <x:c r="R56" s="36" t="str">
        <x:v>po_creation_date, acknowledgement_date</x:v>
      </x:c>
      <x:c r="S56" s="36" t="str">
        <x:v>Correctly flagged.</x:v>
      </x:c>
      <x:c r="T56" s="36" t="str">
        <x:v>Ignored.</x:v>
      </x:c>
      <x:c r="U56" s="36" t="str">
        <x:v>Created May 1, acknowledged May 20.</x:v>
      </x:c>
      <x:c r="V56" s="36" t="str">
        <x:v>None.</x:v>
      </x:c>
    </x:row>
    <x:row r="57" ht="48" customHeight="1">
      <x:c r="A57" s="36" t="str">
        <x:v>TC-AK-05</x:v>
      </x:c>
      <x:c r="B57" s="36" t="str">
        <x:v>Supplier Acknowledgement Testing</x:v>
      </x:c>
      <x:c r="C57" s="36" t="str">
        <x:v>Verify critical escalation on high-value missing confirmations.</x:v>
      </x:c>
      <x:c r="D57" s="36" t="str">
        <x:v>Acknowledgement Workbench</x:v>
      </x:c>
      <x:c r="E57" s="36" t="str">
        <x:v>PO 4500002010 (Value: $125,000)</x:v>
      </x:c>
      <x:c r="F57" s="36" t="str">
        <x:v>Critical</x:v>
      </x:c>
      <x:c r="G57" s="36" t="str">
        <x:v>Not Started</x:v>
      </x:c>
      <x:c r="H57" s="36" t="str"/>
      <x:c r="I57" s="36" t="str"/>
      <x:c r="J57" s="36" t="str"/>
      <x:c r="K57" s="36" t="str"/>
      <x:c r="L57" s="36" t="str"/>
      <x:c r="M57" s="36" t="str">
        <x:v>Not Retested</x:v>
      </x:c>
      <x:c r="N57" s="36" t="str"/>
      <x:c r="O57" s="36" t="str">
        <x:v>Look for PO 4500002010 in Acknowledgement Workbench.</x:v>
      </x:c>
      <x:c r="P57" s="36" t="str">
        <x:v>Listed at the top of the queue with CRITICAL or HIGH severity.</x:v>
      </x:c>
      <x:c r="Q57" s="36" t="str">
        <x:v>Check open value and missing ack.</x:v>
      </x:c>
      <x:c r="R57" s="36" t="str">
        <x:v>open_value, acknowledgement_date</x:v>
      </x:c>
      <x:c r="S57" s="36" t="str">
        <x:v>Prioritized at high severity.</x:v>
      </x:c>
      <x:c r="T57" s="36" t="str">
        <x:v>Displayed at low severity.</x:v>
      </x:c>
      <x:c r="U57" s="36" t="str">
        <x:v>Value &gt; $50k, missing ack.</x:v>
      </x:c>
      <x:c r="V57" s="36" t="str">
        <x:v>None.</x:v>
      </x:c>
    </x:row>
    <x:row r="58" ht="48" customHeight="1">
      <x:c r="A58" s="36" t="str">
        <x:v>TC-AK-06</x:v>
      </x:c>
      <x:c r="B58" s="36" t="str">
        <x:v>Supplier Acknowledgement Testing</x:v>
      </x:c>
      <x:c r="C58" s="36" t="str">
        <x:v>Verify overdue missing ack exception.</x:v>
      </x:c>
      <x:c r="D58" s="36" t="str">
        <x:v>Acknowledgement Workbench</x:v>
      </x:c>
      <x:c r="E58" s="36" t="str">
        <x:v>PO 4500002023</x:v>
      </x:c>
      <x:c r="F58" s="36" t="str">
        <x:v>High</x:v>
      </x:c>
      <x:c r="G58" s="36" t="str">
        <x:v>Not Started</x:v>
      </x:c>
      <x:c r="H58" s="36" t="str"/>
      <x:c r="I58" s="36" t="str"/>
      <x:c r="J58" s="36" t="str"/>
      <x:c r="K58" s="36" t="str"/>
      <x:c r="L58" s="36" t="str"/>
      <x:c r="M58" s="36" t="str">
        <x:v>Not Retested</x:v>
      </x:c>
      <x:c r="N58" s="36" t="str"/>
      <x:c r="O58" s="36" t="str">
        <x:v>Locate PO 4500002023.</x:v>
      </x:c>
      <x:c r="P58" s="36" t="str">
        <x:v>Flagged as "Overdue Missing Acknowledgement".</x:v>
      </x:c>
      <x:c r="Q58" s="36" t="str">
        <x:v>Confirm overdue criteria and missing ack.</x:v>
      </x:c>
      <x:c r="R58" s="36" t="str">
        <x:v>delivery_date, acknowledgement_date</x:v>
      </x:c>
      <x:c r="S58" s="36" t="str">
        <x:v>Correct exception flags.</x:v>
      </x:c>
      <x:c r="T58" s="36" t="str">
        <x:v>Ignored.</x:v>
      </x:c>
      <x:c r="U58" s="36" t="str">
        <x:v>Delivery date passed (May 20, 2026), missing ack.</x:v>
      </x:c>
      <x:c r="V58" s="36" t="str">
        <x:v>None.</x:v>
      </x:c>
    </x:row>
    <x:row r="59" ht="48" customHeight="1">
      <x:c r="A59" s="36" t="str">
        <x:v>TC-EM-01</x:v>
      </x:c>
      <x:c r="B59" s="36" t="str">
        <x:v>Reminder and Email Trigger Testing</x:v>
      </x:c>
      <x:c r="C59" s="36" t="str">
        <x:v>Verify button is visible for overdue/missing ack.</x:v>
      </x:c>
      <x:c r="D59" s="36" t="str">
        <x:v>Overdue Workbench</x:v>
      </x:c>
      <x:c r="E59" s="36" t="str">
        <x:v>PO 4500002009</x:v>
      </x:c>
      <x:c r="F59" s="36" t="str">
        <x:v>High</x:v>
      </x:c>
      <x:c r="G59" s="36" t="str">
        <x:v>Not Started</x:v>
      </x:c>
      <x:c r="H59" s="36" t="str"/>
      <x:c r="I59" s="36" t="str"/>
      <x:c r="J59" s="36" t="str"/>
      <x:c r="K59" s="36" t="str"/>
      <x:c r="L59" s="36" t="str"/>
      <x:c r="M59" s="36" t="str">
        <x:v>Not Retested</x:v>
      </x:c>
      <x:c r="N59" s="36" t="str"/>
      <x:c r="O59" s="36" t="str">
        <x:v>Click PO 4500002009 and check the detail drawer.</x:v>
      </x:c>
      <x:c r="P59" s="36" t="str">
        <x:v>"Send Supplier Reminder" button is visible and active.</x:v>
      </x:c>
      <x:c r="Q59" s="36" t="str">
        <x:v>Confirm eligibility from data coverage matrix.</x:v>
      </x:c>
      <x:c r="R59" s="36" t="str">
        <x:v>Matrix mapping.</x:v>
      </x:c>
      <x:c r="S59" s="36" t="str">
        <x:v>Button is active.</x:v>
      </x:c>
      <x:c r="T59" s="36" t="str">
        <x:v>Button is hidden or disabled.</x:v>
      </x:c>
      <x:c r="U59" s="36" t="str">
        <x:v>Overdue, missing ack, no recent reminders.</x:v>
      </x:c>
      <x:c r="V59" s="36" t="str">
        <x:v>None.</x:v>
      </x:c>
    </x:row>
    <x:row r="60" ht="48" customHeight="1">
      <x:c r="A60" s="36" t="str">
        <x:v>TC-EM-02</x:v>
      </x:c>
      <x:c r="B60" s="36" t="str">
        <x:v>Reminder and Email Trigger Testing</x:v>
      </x:c>
      <x:c r="C60" s="36" t="str">
        <x:v>Verify button is absent on closed/deleted lines.</x:v>
      </x:c>
      <x:c r="D60" s="36" t="str">
        <x:v>PO detail drawer</x:v>
      </x:c>
      <x:c r="E60" s="36" t="str">
        <x:v>PO 4500002015 (deleted) or 4500002016 (completed)</x:v>
      </x:c>
      <x:c r="F60" s="36" t="str">
        <x:v>Critical</x:v>
      </x:c>
      <x:c r="G60" s="36" t="str">
        <x:v>Not Started</x:v>
      </x:c>
      <x:c r="H60" s="36" t="str"/>
      <x:c r="I60" s="36" t="str"/>
      <x:c r="J60" s="36" t="str"/>
      <x:c r="K60" s="36" t="str"/>
      <x:c r="L60" s="36" t="str"/>
      <x:c r="M60" s="36" t="str">
        <x:v>Not Retested</x:v>
      </x:c>
      <x:c r="N60" s="36" t="str"/>
      <x:c r="O60" s="36" t="str">
        <x:v>Open drawer for PO 4500002015 or 4500002016.</x:v>
      </x:c>
      <x:c r="P60" s="36" t="str">
        <x:v>No active buttons. Drawer is read-only.</x:v>
      </x:c>
      <x:c r="Q60" s="36" t="str">
        <x:v>Confirm status in source.</x:v>
      </x:c>
      <x:c r="R60" s="36" t="str">
        <x:v>deletion_completion_indicator</x:v>
      </x:c>
      <x:c r="S60" s="36" t="str">
        <x:v>Button is absent.</x:v>
      </x:c>
      <x:c r="T60" s="36" t="str">
        <x:v>Button appears and allows clicks.</x:v>
      </x:c>
      <x:c r="U60" s="36" t="str">
        <x:v>Line is inactive.</x:v>
      </x:c>
      <x:c r="V60" s="36" t="str">
        <x:v>None.</x:v>
      </x:c>
    </x:row>
    <x:row r="61" ht="48" customHeight="1">
      <x:c r="A61" s="36" t="str">
        <x:v>TC-EM-03</x:v>
      </x:c>
      <x:c r="B61" s="36" t="str">
        <x:v>Reminder and Email Trigger Testing</x:v>
      </x:c>
      <x:c r="C61" s="36" t="str">
        <x:v>Verify rate limit blocks double emails.</x:v>
      </x:c>
      <x:c r="D61" s="36" t="str">
        <x:v>PO detail drawer</x:v>
      </x:c>
      <x:c r="E61" s="36" t="str">
        <x:v>PO 4500002008 (Last reminder: June 4, 2026)</x:v>
      </x:c>
      <x:c r="F61" s="36" t="str">
        <x:v>High</x:v>
      </x:c>
      <x:c r="G61" s="36" t="str">
        <x:v>Not Started</x:v>
      </x:c>
      <x:c r="H61" s="36" t="str"/>
      <x:c r="I61" s="36" t="str"/>
      <x:c r="J61" s="36" t="str"/>
      <x:c r="K61" s="36" t="str"/>
      <x:c r="L61" s="36" t="str"/>
      <x:c r="M61" s="36" t="str">
        <x:v>Not Retested</x:v>
      </x:c>
      <x:c r="N61" s="36" t="str"/>
      <x:c r="O61" s="36" t="str">
        <x:v>Open drawer for PO 4500002008.</x:v>
      </x:c>
      <x:c r="P61" s="36" t="str">
        <x:v>Button is disabled or shows "Reminder Sent Recently". Rate limit warning banner visible.</x:v>
      </x:c>
      <x:c r="Q61" s="36" t="str">
        <x:v>Check last_reminder_date in source.</x:v>
      </x:c>
      <x:c r="R61" s="36" t="str">
        <x:v>last_reminder_date</x:v>
      </x:c>
      <x:c r="S61" s="36" t="str">
        <x:v>Double reminder blocked.</x:v>
      </x:c>
      <x:c r="T61" s="36" t="str">
        <x:v>Allows clicking and sending.</x:v>
      </x:c>
      <x:c r="U61" s="36" t="str">
        <x:v>Current date is June 10, 2026. Rate limit is active.</x:v>
      </x:c>
      <x:c r="V61" s="36" t="str">
        <x:v>Rate limiting is critical to avoid spamming suppliers.</x:v>
      </x:c>
    </x:row>
    <x:row r="62" ht="48" customHeight="1">
      <x:c r="A62" s="36" t="str">
        <x:v>TC-EM-04</x:v>
      </x:c>
      <x:c r="B62" s="36" t="str">
        <x:v>Reminder and Email Trigger Testing</x:v>
      </x:c>
      <x:c r="C62" s="36" t="str">
        <x:v>Verify state transition after sending.</x:v>
      </x:c>
      <x:c r="D62" s="36" t="str">
        <x:v>Acknowledgement Workbench</x:v>
      </x:c>
      <x:c r="E62" s="36" t="str">
        <x:v>PO 4500002006</x:v>
      </x:c>
      <x:c r="F62" s="36" t="str">
        <x:v>High</x:v>
      </x:c>
      <x:c r="G62" s="36" t="str">
        <x:v>Not Started</x:v>
      </x:c>
      <x:c r="H62" s="36" t="str"/>
      <x:c r="I62" s="36" t="str"/>
      <x:c r="J62" s="36" t="str"/>
      <x:c r="K62" s="36" t="str"/>
      <x:c r="L62" s="36" t="str"/>
      <x:c r="M62" s="36" t="str">
        <x:v>Not Retested</x:v>
      </x:c>
      <x:c r="N62" s="36" t="str"/>
      <x:c r="O62" s="36" t="str">
        <x:v>Click row, click "Request Acknowledgement", preview draft, click "Confirm Send".</x:v>
      </x:c>
      <x:c r="P62" s="36" t="str">
        <x:v>Drawer updates to show reminder sent. Recommendation moves to "Pending Supplier Response".</x:v>
      </x:c>
      <x:c r="Q62" s="36" t="str">
        <x:v>Check if database has new reminder log.</x:v>
      </x:c>
      <x:c r="R62" s="36" t="str">
        <x:v>app-supplier-reminders.json</x:v>
      </x:c>
      <x:c r="S62" s="36" t="str">
        <x:v>Recommendation transitions correctly and logs.</x:v>
      </x:c>
      <x:c r="T62" s="36" t="str">
        <x:v>Mismatch or fails to save.</x:v>
      </x:c>
      <x:c r="U62" s="36" t="str">
        <x:v>Missing confirmation.</x:v>
      </x:c>
      <x:c r="V62" s="36" t="str">
        <x:v>None.</x:v>
      </x:c>
    </x:row>
    <x:row r="63" ht="48" customHeight="1">
      <x:c r="A63" s="36" t="str">
        <x:v>TC-EM-05</x:v>
      </x:c>
      <x:c r="B63" s="36" t="str">
        <x:v>Reminder and Email Trigger Testing</x:v>
      </x:c>
      <x:c r="C63" s="36" t="str">
        <x:v>Verify state transition for overdue reminder.</x:v>
      </x:c>
      <x:c r="D63" s="36" t="str">
        <x:v>Overdue Workbench</x:v>
      </x:c>
      <x:c r="E63" s="36" t="str">
        <x:v>PO 4500002024</x:v>
      </x:c>
      <x:c r="F63" s="36" t="str">
        <x:v>High</x:v>
      </x:c>
      <x:c r="G63" s="36" t="str">
        <x:v>Not Started</x:v>
      </x:c>
      <x:c r="H63" s="36" t="str"/>
      <x:c r="I63" s="36" t="str"/>
      <x:c r="J63" s="36" t="str"/>
      <x:c r="K63" s="36" t="str"/>
      <x:c r="L63" s="36" t="str"/>
      <x:c r="M63" s="36" t="str">
        <x:v>Not Retested</x:v>
      </x:c>
      <x:c r="N63" s="36" t="str"/>
      <x:c r="O63" s="36" t="str">
        <x:v>Open drawer, click "Send Supplier Reminder", click "Confirm Send".</x:v>
      </x:c>
      <x:c r="P63" s="36" t="str">
        <x:v>Transitions status to pending response.</x:v>
      </x:c>
      <x:c r="Q63" s="36" t="str">
        <x:v>Check database files.</x:v>
      </x:c>
      <x:c r="R63" s="36" t="str">
        <x:v>app-supplier-reminders.json</x:v>
      </x:c>
      <x:c r="S63" s="36" t="str">
        <x:v>Reconciles.</x:v>
      </x:c>
      <x:c r="T63" s="36" t="str">
        <x:v>Mismatch.</x:v>
      </x:c>
      <x:c r="U63" s="36" t="str">
        <x:v>Overdue, pending GR.</x:v>
      </x:c>
      <x:c r="V63" s="36" t="str">
        <x:v>None.</x:v>
      </x:c>
    </x:row>
    <x:row r="64" ht="48" customHeight="1">
      <x:c r="A64" s="36" t="str">
        <x:v>TC-EM-06</x:v>
      </x:c>
      <x:c r="B64" s="36" t="str">
        <x:v>Reminder and Email Trigger Testing</x:v>
      </x:c>
      <x:c r="C64" s="36" t="str">
        <x:v>Verify preview modal renders before dispatch.</x:v>
      </x:c>
      <x:c r="D64" s="36" t="str">
        <x:v>PO drawer</x:v>
      </x:c>
      <x:c r="E64" s="36" t="str">
        <x:v>PO 4500002010</x:v>
      </x:c>
      <x:c r="F64" s="36" t="str">
        <x:v>High</x:v>
      </x:c>
      <x:c r="G64" s="36" t="str">
        <x:v>Not Started</x:v>
      </x:c>
      <x:c r="H64" s="36" t="str"/>
      <x:c r="I64" s="36" t="str"/>
      <x:c r="J64" s="36" t="str"/>
      <x:c r="K64" s="36" t="str"/>
      <x:c r="L64" s="36" t="str"/>
      <x:c r="M64" s="36" t="str">
        <x:v>Not Retested</x:v>
      </x:c>
      <x:c r="N64" s="36" t="str"/>
      <x:c r="O64" s="36" t="str">
        <x:v>Click "Send Reminder".</x:v>
      </x:c>
      <x:c r="P64" s="36" t="str">
        <x:v>Draft modal slides open or overlays the screen.</x:v>
      </x:c>
      <x:c r="Q64" s="36" t="str">
        <x:v>Visual check.</x:v>
      </x:c>
      <x:c r="R64" s="36" t="str">
        <x:v>UI display.</x:v>
      </x:c>
      <x:c r="S64" s="36" t="str">
        <x:v>Modal opens.</x:v>
      </x:c>
      <x:c r="T64" s="36" t="str">
        <x:v>Sends immediately without preview.</x:v>
      </x:c>
      <x:c r="U64" s="36" t="str">
        <x:v>Clicked send button.</x:v>
      </x:c>
      <x:c r="V64" s="36" t="str">
        <x:v>Prevents accidental sends.</x:v>
      </x:c>
    </x:row>
    <x:row r="65" ht="48" customHeight="1">
      <x:c r="A65" s="36" t="str">
        <x:v>TC-EM-07</x:v>
      </x:c>
      <x:c r="B65" s="36" t="str">
        <x:v>Reminder and Email Trigger Testing</x:v>
      </x:c>
      <x:c r="C65" s="36" t="str">
        <x:v>Verify PO number injection.</x:v>
      </x:c>
      <x:c r="D65" s="36" t="str">
        <x:v>Email Preview Modal</x:v>
      </x:c>
      <x:c r="E65" s="36" t="str">
        <x:v>PO 4500002010</x:v>
      </x:c>
      <x:c r="F65" s="36" t="str">
        <x:v>High</x:v>
      </x:c>
      <x:c r="G65" s="36" t="str">
        <x:v>Not Started</x:v>
      </x:c>
      <x:c r="H65" s="36" t="str"/>
      <x:c r="I65" s="36" t="str"/>
      <x:c r="J65" s="36" t="str"/>
      <x:c r="K65" s="36" t="str"/>
      <x:c r="L65" s="36" t="str"/>
      <x:c r="M65" s="36" t="str">
        <x:v>Not Retested</x:v>
      </x:c>
      <x:c r="N65" s="36" t="str"/>
      <x:c r="O65" s="36" t="str">
        <x:v>Read the subject and body text.</x:v>
      </x:c>
      <x:c r="P65" s="36" t="str">
        <x:v>Displays 4500002010 in subject/body.</x:v>
      </x:c>
      <x:c r="Q65" s="36" t="str">
        <x:v>Match with source.</x:v>
      </x:c>
      <x:c r="R65" s="36" t="str">
        <x:v>po_number</x:v>
      </x:c>
      <x:c r="S65" s="36" t="str">
        <x:v>Matches exactly.</x:v>
      </x:c>
      <x:c r="T65" s="36" t="str">
        <x:v>Shows wrong number or raw tag (e.g. {po_number}).</x:v>
      </x:c>
      <x:c r="U65" s="36" t="str">
        <x:v>Modal is open.</x:v>
      </x:c>
      <x:c r="V65" s="36" t="str">
        <x:v>None.</x:v>
      </x:c>
    </x:row>
    <x:row r="66" ht="48" customHeight="1">
      <x:c r="A66" s="36" t="str">
        <x:v>TC-EM-08</x:v>
      </x:c>
      <x:c r="B66" s="36" t="str">
        <x:v>Reminder and Email Trigger Testing</x:v>
      </x:c>
      <x:c r="C66" s="36" t="str">
        <x:v>Verify supplier name injection.</x:v>
      </x:c>
      <x:c r="D66" s="36" t="str">
        <x:v>Email Preview Modal</x:v>
      </x:c>
      <x:c r="E66" s="36" t="str">
        <x:v>PO 4500002010</x:v>
      </x:c>
      <x:c r="F66" s="36" t="str">
        <x:v>High</x:v>
      </x:c>
      <x:c r="G66" s="36" t="str">
        <x:v>Not Started</x:v>
      </x:c>
      <x:c r="H66" s="36" t="str"/>
      <x:c r="I66" s="36" t="str"/>
      <x:c r="J66" s="36" t="str"/>
      <x:c r="K66" s="36" t="str"/>
      <x:c r="L66" s="36" t="str"/>
      <x:c r="M66" s="36" t="str">
        <x:v>Not Retested</x:v>
      </x:c>
      <x:c r="N66" s="36" t="str"/>
      <x:c r="O66" s="36" t="str">
        <x:v>Read recipient/salutation.</x:v>
      </x:c>
      <x:c r="P66" s="36" t="str">
        <x:v>Displays Global Foundry or contact name.</x:v>
      </x:c>
      <x:c r="Q66" s="36" t="str">
        <x:v>Match with source.</x:v>
      </x:c>
      <x:c r="R66" s="36" t="str">
        <x:v>supplier</x:v>
      </x:c>
      <x:c r="S66" s="36" t="str">
        <x:v>Matches exactly.</x:v>
      </x:c>
      <x:c r="T66" s="36" t="str">
        <x:v>Shows wrong supplier or raw tag.</x:v>
      </x:c>
      <x:c r="U66" s="36" t="str">
        <x:v>Modal is open.</x:v>
      </x:c>
      <x:c r="V66" s="36" t="str">
        <x:v>None.</x:v>
      </x:c>
    </x:row>
    <x:row r="67" ht="48" customHeight="1">
      <x:c r="A67" s="36" t="str">
        <x:v>TC-EM-09</x:v>
      </x:c>
      <x:c r="B67" s="36" t="str">
        <x:v>Reminder and Email Trigger Testing</x:v>
      </x:c>
      <x:c r="C67" s="36" t="str">
        <x:v>Verify delivery date injection.</x:v>
      </x:c>
      <x:c r="D67" s="36" t="str">
        <x:v>Email Preview Modal</x:v>
      </x:c>
      <x:c r="E67" s="36" t="str">
        <x:v>PO 4500002010</x:v>
      </x:c>
      <x:c r="F67" s="36" t="str">
        <x:v>High</x:v>
      </x:c>
      <x:c r="G67" s="36" t="str">
        <x:v>Not Started</x:v>
      </x:c>
      <x:c r="H67" s="36" t="str"/>
      <x:c r="I67" s="36" t="str"/>
      <x:c r="J67" s="36" t="str"/>
      <x:c r="K67" s="36" t="str"/>
      <x:c r="L67" s="36" t="str"/>
      <x:c r="M67" s="36" t="str">
        <x:v>Not Retested</x:v>
      </x:c>
      <x:c r="N67" s="36" t="str"/>
      <x:c r="O67" s="36" t="str">
        <x:v>Read delivery date field in email body.</x:v>
      </x:c>
      <x:c r="P67" s="36" t="str">
        <x:v>Displays 2026-07-20.</x:v>
      </x:c>
      <x:c r="Q67" s="36" t="str">
        <x:v>Match with source.</x:v>
      </x:c>
      <x:c r="R67" s="36" t="str">
        <x:v>delivery_date</x:v>
      </x:c>
      <x:c r="S67" s="36" t="str">
        <x:v>Date matches exactly.</x:v>
      </x:c>
      <x:c r="T67" s="36" t="str">
        <x:v>Mismatch.</x:v>
      </x:c>
      <x:c r="U67" s="36" t="str">
        <x:v>Modal is open.</x:v>
      </x:c>
      <x:c r="V67" s="36" t="str">
        <x:v>None.</x:v>
      </x:c>
    </x:row>
    <x:row r="68" ht="48" customHeight="1">
      <x:c r="A68" s="36" t="str">
        <x:v>TC-EM-10</x:v>
      </x:c>
      <x:c r="B68" s="36" t="str">
        <x:v>Reminder and Email Trigger Testing</x:v>
      </x:c>
      <x:c r="C68" s="36" t="str">
        <x:v>Verify quantity and value injection.</x:v>
      </x:c>
      <x:c r="D68" s="36" t="str">
        <x:v>Email Preview Modal</x:v>
      </x:c>
      <x:c r="E68" s="36" t="str">
        <x:v>PO 4500002010</x:v>
      </x:c>
      <x:c r="F68" s="36" t="str">
        <x:v>High</x:v>
      </x:c>
      <x:c r="G68" s="36" t="str">
        <x:v>Not Started</x:v>
      </x:c>
      <x:c r="H68" s="36" t="str"/>
      <x:c r="I68" s="36" t="str"/>
      <x:c r="J68" s="36" t="str"/>
      <x:c r="K68" s="36" t="str"/>
      <x:c r="L68" s="36" t="str"/>
      <x:c r="M68" s="36" t="str">
        <x:v>Not Retested</x:v>
      </x:c>
      <x:c r="N68" s="36" t="str"/>
      <x:c r="O68" s="36" t="str">
        <x:v>Read open quantity and value values in email body.</x:v>
      </x:c>
      <x:c r="P68" s="36" t="str">
        <x:v>Shows 5000 pcs and $125,000.00.</x:v>
      </x:c>
      <x:c r="Q68" s="36" t="str">
        <x:v>Match with source.</x:v>
      </x:c>
      <x:c r="R68" s="36" t="str">
        <x:v>open_quantity, open_value</x:v>
      </x:c>
      <x:c r="S68" s="36" t="str">
        <x:v>Quantities and values match.</x:v>
      </x:c>
      <x:c r="T68" s="36" t="str">
        <x:v>Mismatch.</x:v>
      </x:c>
      <x:c r="U68" s="36" t="str">
        <x:v>Modal is open.</x:v>
      </x:c>
      <x:c r="V68" s="36" t="str">
        <x:v>None.</x:v>
      </x:c>
    </x:row>
    <x:row r="69" ht="48" customHeight="1">
      <x:c r="A69" s="36" t="str">
        <x:v>TC-EM-11</x:v>
      </x:c>
      <x:c r="B69" s="36" t="str">
        <x:v>Reminder and Email Trigger Testing</x:v>
      </x:c>
      <x:c r="C69" s="36" t="str">
        <x:v>Verify buyer signature.</x:v>
      </x:c>
      <x:c r="D69" s="36" t="str">
        <x:v>Email Preview Modal</x:v>
      </x:c>
      <x:c r="E69" s="36" t="str">
        <x:v>PO 4500002010</x:v>
      </x:c>
      <x:c r="F69" s="36" t="str">
        <x:v>High</x:v>
      </x:c>
      <x:c r="G69" s="36" t="str">
        <x:v>Not Started</x:v>
      </x:c>
      <x:c r="H69" s="36" t="str"/>
      <x:c r="I69" s="36" t="str"/>
      <x:c r="J69" s="36" t="str"/>
      <x:c r="K69" s="36" t="str"/>
      <x:c r="L69" s="36" t="str"/>
      <x:c r="M69" s="36" t="str">
        <x:v>Not Retested</x:v>
      </x:c>
      <x:c r="N69" s="36" t="str"/>
      <x:c r="O69" s="36" t="str">
        <x:v>Read the email signature.</x:v>
      </x:c>
      <x:c r="P69" s="36" t="str">
        <x:v>Displays Sarah Planner.</x:v>
      </x:c>
      <x:c r="Q69" s="36" t="str">
        <x:v>Match with source.</x:v>
      </x:c>
      <x:c r="R69" s="36" t="str">
        <x:v>buyer</x:v>
      </x:c>
      <x:c r="S69" s="36" t="str">
        <x:v>Signature matches.</x:v>
      </x:c>
      <x:c r="T69" s="36" t="str">
        <x:v>Mismatch.</x:v>
      </x:c>
      <x:c r="U69" s="36" t="str">
        <x:v>Modal is open.</x:v>
      </x:c>
      <x:c r="V69" s="36" t="str">
        <x:v>None.</x:v>
      </x:c>
    </x:row>
    <x:row r="70" ht="48" customHeight="1">
      <x:c r="A70" s="36" t="str">
        <x:v>TC-EM-12</x:v>
      </x:c>
      <x:c r="B70" s="36" t="str">
        <x:v>Reminder and Email Trigger Testing</x:v>
      </x:c>
      <x:c r="C70" s="36" t="str">
        <x:v>Verify database count increments.</x:v>
      </x:c>
      <x:c r="D70" s="36" t="str">
        <x:v>PO Detail drawer</x:v>
      </x:c>
      <x:c r="E70" s="36" t="str">
        <x:v>PO 4500002009</x:v>
      </x:c>
      <x:c r="F70" s="36" t="str">
        <x:v>High</x:v>
      </x:c>
      <x:c r="G70" s="36" t="str">
        <x:v>Not Started</x:v>
      </x:c>
      <x:c r="H70" s="36" t="str"/>
      <x:c r="I70" s="36" t="str"/>
      <x:c r="J70" s="36" t="str"/>
      <x:c r="K70" s="36" t="str"/>
      <x:c r="L70" s="36" t="str"/>
      <x:c r="M70" s="36" t="str">
        <x:v>Not Retested</x:v>
      </x:c>
      <x:c r="N70" s="36" t="str"/>
      <x:c r="O70" s="36" t="str">
        <x:v>Check reminder count in PO details after sending.</x:v>
      </x:c>
      <x:c r="P70" s="36" t="str">
        <x:v>Shows count as 1.</x:v>
      </x:c>
      <x:c r="Q70" s="36" t="str">
        <x:v>Check reminder_count field in mock database.</x:v>
      </x:c>
      <x:c r="R70" s="36" t="str">
        <x:v>reminder_count</x:v>
      </x:c>
      <x:c r="S70" s="36" t="str">
        <x:v>Value increments by 1.</x:v>
      </x:c>
      <x:c r="T70" s="36" t="str">
        <x:v>Count remains 0.</x:v>
      </x:c>
      <x:c r="U70" s="36" t="str">
        <x:v>Clicked confirm send.</x:v>
      </x:c>
      <x:c r="V70" s="36" t="str">
        <x:v>None.</x:v>
      </x:c>
    </x:row>
    <x:row r="71" ht="48" customHeight="1">
      <x:c r="A71" s="36" t="str">
        <x:v>TC-EM-13</x:v>
      </x:c>
      <x:c r="B71" s="36" t="str">
        <x:v>Reminder and Email Trigger Testing</x:v>
      </x:c>
      <x:c r="C71" s="36" t="str">
        <x:v>Verify database timestamp updates.</x:v>
      </x:c>
      <x:c r="D71" s="36" t="str">
        <x:v>PO Detail drawer</x:v>
      </x:c>
      <x:c r="E71" s="36" t="str">
        <x:v>PO 4500002009</x:v>
      </x:c>
      <x:c r="F71" s="36" t="str">
        <x:v>High</x:v>
      </x:c>
      <x:c r="G71" s="36" t="str">
        <x:v>Not Started</x:v>
      </x:c>
      <x:c r="H71" s="36" t="str"/>
      <x:c r="I71" s="36" t="str"/>
      <x:c r="J71" s="36" t="str"/>
      <x:c r="K71" s="36" t="str"/>
      <x:c r="L71" s="36" t="str"/>
      <x:c r="M71" s="36" t="str">
        <x:v>Not Retested</x:v>
      </x:c>
      <x:c r="N71" s="36" t="str"/>
      <x:c r="O71" s="36" t="str">
        <x:v>Open details for PO 4500002009.</x:v>
      </x:c>
      <x:c r="P71" s="36" t="str">
        <x:v>Shows last reminder date as 2026-06-10.</x:v>
      </x:c>
      <x:c r="Q71" s="36" t="str">
        <x:v>Check last_reminder_date field in database.</x:v>
      </x:c>
      <x:c r="R71" s="36" t="str">
        <x:v>last_reminder_date</x:v>
      </x:c>
      <x:c r="S71" s="36" t="str">
        <x:v>Date matches current system date.</x:v>
      </x:c>
      <x:c r="T71" s="36" t="str">
        <x:v>Date remains empty or wrong date.</x:v>
      </x:c>
      <x:c r="U71" s="36" t="str">
        <x:v>Clicked confirm send on June 10, 2026.</x:v>
      </x:c>
      <x:c r="V71" s="36" t="str">
        <x:v>None.</x:v>
      </x:c>
    </x:row>
    <x:row r="72" ht="48" customHeight="1">
      <x:c r="A72" s="36" t="str">
        <x:v>TC-EM-14</x:v>
      </x:c>
      <x:c r="B72" s="36" t="str">
        <x:v>Reminder and Email Trigger Testing</x:v>
      </x:c>
      <x:c r="C72" s="36" t="str">
        <x:v>Verify lifecycle tab transition.</x:v>
      </x:c>
      <x:c r="D72" s="36" t="str">
        <x:v>Recommendation Worklist</x:v>
      </x:c>
      <x:c r="E72" s="36" t="str">
        <x:v>PO 4500002009</x:v>
      </x:c>
      <x:c r="F72" s="36" t="str">
        <x:v>Critical</x:v>
      </x:c>
      <x:c r="G72" s="36" t="str">
        <x:v>Not Started</x:v>
      </x:c>
      <x:c r="H72" s="36" t="str"/>
      <x:c r="I72" s="36" t="str"/>
      <x:c r="J72" s="36" t="str"/>
      <x:c r="K72" s="36" t="str"/>
      <x:c r="L72" s="36" t="str"/>
      <x:c r="M72" s="36" t="str">
        <x:v>Not Retested</x:v>
      </x:c>
      <x:c r="N72" s="36" t="str"/>
      <x:c r="O72" s="36" t="str">
        <x:v>Navigate to the "Pending Supplier Response" tab.</x:v>
      </x:c>
      <x:c r="P72" s="36" t="str">
        <x:v>PO 4500002009 card/row is displayed here.</x:v>
      </x:c>
      <x:c r="Q72" s="36" t="str">
        <x:v>Check tab list rows.</x:v>
      </x:c>
      <x:c r="R72" s="36" t="str">
        <x:v>UI display.</x:v>
      </x:c>
      <x:c r="S72" s="36" t="str">
        <x:v>Present in pending response tab.</x:v>
      </x:c>
      <x:c r="T72" s="36" t="str">
        <x:v>Stays in awaiting action tab.</x:v>
      </x:c>
      <x:c r="U72" s="36" t="str">
        <x:v>Clicked confirm send.</x:v>
      </x:c>
      <x:c r="V72" s="36" t="str">
        <x:v>None.</x:v>
      </x:c>
    </x:row>
    <x:row r="73" ht="48" customHeight="1">
      <x:c r="A73" s="36" t="str">
        <x:v>TC-EM-15</x:v>
      </x:c>
      <x:c r="B73" s="36" t="str">
        <x:v>Reminder and Email Trigger Testing</x:v>
      </x:c>
      <x:c r="C73" s="36" t="str">
        <x:v>Verify log history entry is written.</x:v>
      </x:c>
      <x:c r="D73" s="36" t="str">
        <x:v>PO detail drawer</x:v>
      </x:c>
      <x:c r="E73" s="36" t="str">
        <x:v>PO 4500002009</x:v>
      </x:c>
      <x:c r="F73" s="36" t="str">
        <x:v>High</x:v>
      </x:c>
      <x:c r="G73" s="36" t="str">
        <x:v>Not Started</x:v>
      </x:c>
      <x:c r="H73" s="36" t="str"/>
      <x:c r="I73" s="36" t="str"/>
      <x:c r="J73" s="36" t="str"/>
      <x:c r="K73" s="36" t="str"/>
      <x:c r="L73" s="36" t="str"/>
      <x:c r="M73" s="36" t="str">
        <x:v>Not Retested</x:v>
      </x:c>
      <x:c r="N73" s="36" t="str"/>
      <x:c r="O73" s="36" t="str">
        <x:v>Open the "Communication Logs" section in the drawer.</x:v>
      </x:c>
      <x:c r="P73" s="36" t="str">
        <x:v>Shows entry: "June 10, 2026: Email reminder sent to supplier."</x:v>
      </x:c>
      <x:c r="Q73" s="36" t="str">
        <x:v>Check log database.</x:v>
      </x:c>
      <x:c r="R73" s="36" t="str">
        <x:v>app-supplier-reminders.json</x:v>
      </x:c>
      <x:c r="S73" s="36" t="str">
        <x:v>History log is present and updated.</x:v>
      </x:c>
      <x:c r="T73" s="36" t="str">
        <x:v>Log is missing.</x:v>
      </x:c>
      <x:c r="U73" s="36" t="str">
        <x:v>Clicked confirm send.</x:v>
      </x:c>
      <x:c r="V73" s="36" t="str">
        <x:v>None.</x:v>
      </x:c>
    </x:row>
    <x:row r="74" ht="48" customHeight="1">
      <x:c r="A74" s="36" t="str">
        <x:v>TC-EM-16</x:v>
      </x:c>
      <x:c r="B74" s="36" t="str">
        <x:v>Reminder and Email Trigger Testing</x:v>
      </x:c>
      <x:c r="C74" s="36" t="str">
        <x:v>Verify failed email transmission triggers local mock fallback.</x:v>
      </x:c>
      <x:c r="D74" s="36" t="str">
        <x:v>PO detail drawer</x:v>
      </x:c>
      <x:c r="E74" s="36" t="str">
        <x:v>PO 4500002009</x:v>
      </x:c>
      <x:c r="F74" s="36" t="str">
        <x:v>Critical</x:v>
      </x:c>
      <x:c r="G74" s="36" t="str">
        <x:v>Not Started</x:v>
      </x:c>
      <x:c r="H74" s="36" t="str"/>
      <x:c r="I74" s="36" t="str"/>
      <x:c r="J74" s="36" t="str"/>
      <x:c r="K74" s="36" t="str"/>
      <x:c r="L74" s="36" t="str"/>
      <x:c r="M74" s="36" t="str">
        <x:v>Not Retested</x:v>
      </x:c>
      <x:c r="N74" s="36" t="str"/>
      <x:c r="O74" s="36" t="str">
        <x:v>Open drawer, click "Send Supplier Reminder", click "Confirm Send".</x:v>
      </x:c>
      <x:c r="P74" s="36" t="str">
        <x:v>Alert popup (Toast) displays: "Outlook connection failed. Logged reminder locally as mock fallback."</x:v>
      </x:c>
      <x:c r="Q74" s="36" t="str">
        <x:v>Confirm reminder log is written locally to JSON, but no real email is sent.</x:v>
      </x:c>
      <x:c r="R74" s="36" t="str">
        <x:v>UI toast message and JSON log.</x:v>
      </x:c>
      <x:c r="S74" s="36" t="str">
        <x:v>Correct toast message is displayed.</x:v>
      </x:c>
      <x:c r="T74" s="36" t="str">
        <x:v>UI hangs, crashes, or falsely reports successful Outlook send.</x:v>
      </x:c>
      <x:c r="U74" s="36" t="str">
        <x:v>Enable Outlook mode with incorrect API settings in environment.</x:v>
      </x:c>
      <x:c r="V74" s="36" t="str">
        <x:v>Crucial API rate-limiting/error boundary check.</x:v>
      </x:c>
    </x:row>
    <x:row r="75" ht="48" customHeight="1">
      <x:c r="A75" s="36" t="str">
        <x:v>TC-REC-01</x:v>
      </x:c>
      <x:c r="B75" s="36" t="str">
        <x:v>Recommendation/Workbench Testing</x:v>
      </x:c>
      <x:c r="C75" s="36" t="str">
        <x:v>Verify recommended actions are listed.</x:v>
      </x:c>
      <x:c r="D75" s="36" t="str">
        <x:v>Recommendation Worklist</x:v>
      </x:c>
      <x:c r="E75" s="36" t="str">
        <x:v>PO 4500002009</x:v>
      </x:c>
      <x:c r="F75" s="36" t="str">
        <x:v>High</x:v>
      </x:c>
      <x:c r="G75" s="36" t="str">
        <x:v>Not Started</x:v>
      </x:c>
      <x:c r="H75" s="36" t="str"/>
      <x:c r="I75" s="36" t="str"/>
      <x:c r="J75" s="36" t="str"/>
      <x:c r="K75" s="36" t="str"/>
      <x:c r="L75" s="36" t="str"/>
      <x:c r="M75" s="36" t="str">
        <x:v>Not Retested</x:v>
      </x:c>
      <x:c r="N75" s="36" t="str"/>
      <x:c r="O75" s="36" t="str">
        <x:v>Open "Awaiting Action" tab.</x:v>
      </x:c>
      <x:c r="P75" s="36" t="str">
        <x:v>PO 4500002009 is listed.</x:v>
      </x:c>
      <x:c r="Q75" s="36" t="str">
        <x:v>Verify row presence.</x:v>
      </x:c>
      <x:c r="R75" s="36" t="str">
        <x:v>UI display.</x:v>
      </x:c>
      <x:c r="S75" s="36" t="str">
        <x:v>Displayed in tab.</x:v>
      </x:c>
      <x:c r="T75" s="36" t="str">
        <x:v>Missing.</x:v>
      </x:c>
      <x:c r="U75" s="36" t="str">
        <x:v>Recommendation status is AWAITING_ACTION / RECOMMENDED.</x:v>
      </x:c>
      <x:c r="V75" s="36" t="str">
        <x:v>None.</x:v>
      </x:c>
    </x:row>
    <x:row r="76" ht="48" customHeight="1">
      <x:c r="A76" s="36" t="str">
        <x:v>TC-REC-02</x:v>
      </x:c>
      <x:c r="B76" s="36" t="str">
        <x:v>Recommendation/Workbench Testing</x:v>
      </x:c>
      <x:c r="C76" s="36" t="str">
        <x:v>Verify sent reminders transition.</x:v>
      </x:c>
      <x:c r="D76" s="36" t="str">
        <x:v>Recommendation Worklist</x:v>
      </x:c>
      <x:c r="E76" s="36" t="str">
        <x:v>PO 4500002008</x:v>
      </x:c>
      <x:c r="F76" s="36" t="str">
        <x:v>High</x:v>
      </x:c>
      <x:c r="G76" s="36" t="str">
        <x:v>Not Started</x:v>
      </x:c>
      <x:c r="H76" s="36" t="str"/>
      <x:c r="I76" s="36" t="str"/>
      <x:c r="J76" s="36" t="str"/>
      <x:c r="K76" s="36" t="str"/>
      <x:c r="L76" s="36" t="str"/>
      <x:c r="M76" s="36" t="str">
        <x:v>Not Retested</x:v>
      </x:c>
      <x:c r="N76" s="36" t="str"/>
      <x:c r="O76" s="36" t="str">
        <x:v>Navigate to "Pending Supplier Response" tab.</x:v>
      </x:c>
      <x:c r="P76" s="36" t="str">
        <x:v>PO 4500002008 is listed.</x:v>
      </x:c>
      <x:c r="Q76" s="36" t="str">
        <x:v>Verify row presence.</x:v>
      </x:c>
      <x:c r="R76" s="36" t="str">
        <x:v>UI display.</x:v>
      </x:c>
      <x:c r="S76" s="36" t="str">
        <x:v>Listed correctly.</x:v>
      </x:c>
      <x:c r="T76" s="36" t="str">
        <x:v>Missing.</x:v>
      </x:c>
      <x:c r="U76" s="36" t="str">
        <x:v>last_reminder_date is populated.</x:v>
      </x:c>
      <x:c r="V76" s="36" t="str">
        <x:v>None.</x:v>
      </x:c>
    </x:row>
    <x:row r="77" ht="48" customHeight="1">
      <x:c r="A77" s="36" t="str">
        <x:v>TC-REC-03</x:v>
      </x:c>
      <x:c r="B77" s="36" t="str">
        <x:v>Recommendation/Workbench Testing</x:v>
      </x:c>
      <x:c r="C77" s="36" t="str">
        <x:v>Verify lock state on completed items.</x:v>
      </x:c>
      <x:c r="D77" s="36" t="str">
        <x:v>Recommendation Worklist</x:v>
      </x:c>
      <x:c r="E77" s="36" t="str">
        <x:v>PO 4500002016</x:v>
      </x:c>
      <x:c r="F77" s="36" t="str">
        <x:v>Critical</x:v>
      </x:c>
      <x:c r="G77" s="36" t="str">
        <x:v>Not Started</x:v>
      </x:c>
      <x:c r="H77" s="36" t="str"/>
      <x:c r="I77" s="36" t="str"/>
      <x:c r="J77" s="36" t="str"/>
      <x:c r="K77" s="36" t="str"/>
      <x:c r="L77" s="36" t="str"/>
      <x:c r="M77" s="36" t="str">
        <x:v>Not Retested</x:v>
      </x:c>
      <x:c r="N77" s="36" t="str"/>
      <x:c r="O77" s="36" t="str">
        <x:v>1. Navigate to "Resolved / Closed" tab.
2. Click on PO 4500002016.</x:v>
      </x:c>
      <x:c r="P77" s="36" t="str">
        <x:v>Drawer shows a lock icon and text: "🔒 Closed history is read-only." Action buttons are hidden.</x:v>
      </x:c>
      <x:c r="Q77" s="36" t="str">
        <x:v>Visual check.</x:v>
      </x:c>
      <x:c r="R77" s="36" t="str">
        <x:v>UI display.</x:v>
      </x:c>
      <x:c r="S77" s="36" t="str">
        <x:v>Read-only state enforced.</x:v>
      </x:c>
      <x:c r="T77" s="36" t="str">
        <x:v>Active action buttons visible.</x:v>
      </x:c>
      <x:c r="U77" s="36" t="str">
        <x:v>Line completed.</x:v>
      </x:c>
      <x:c r="V77" s="36" t="str">
        <x:v>Historical records must not be modifiable.</x:v>
      </x:c>
    </x:row>
    <x:row r="78" ht="48" customHeight="1">
      <x:c r="A78" s="36" t="str">
        <x:v>TC-REC-04</x:v>
      </x:c>
      <x:c r="B78" s="36" t="str">
        <x:v>Recommendation/Workbench Testing</x:v>
      </x:c>
      <x:c r="C78" s="36" t="str">
        <x:v>Verify correct text suggestion.</x:v>
      </x:c>
      <x:c r="D78" s="36" t="str">
        <x:v>PO drawer</x:v>
      </x:c>
      <x:c r="E78" s="36" t="str">
        <x:v>PO 4500002004 (Overdue)</x:v>
      </x:c>
      <x:c r="F78" s="36" t="str">
        <x:v>High</x:v>
      </x:c>
      <x:c r="G78" s="36" t="str">
        <x:v>Not Started</x:v>
      </x:c>
      <x:c r="H78" s="36" t="str"/>
      <x:c r="I78" s="36" t="str"/>
      <x:c r="J78" s="36" t="str"/>
      <x:c r="K78" s="36" t="str"/>
      <x:c r="L78" s="36" t="str"/>
      <x:c r="M78" s="36" t="str">
        <x:v>Not Retested</x:v>
      </x:c>
      <x:c r="N78" s="36" t="str"/>
      <x:c r="O78" s="36" t="str">
        <x:v>Open details for PO 4500002004.</x:v>
      </x:c>
      <x:c r="P78" s="36" t="str">
        <x:v>Suggestions indicate: "Recommended Action: Send supplier reminder email to secure recovery commitment date."</x:v>
      </x:c>
      <x:c r="Q78" s="36" t="str">
        <x:v>Match with source guidelines.</x:v>
      </x:c>
      <x:c r="R78" s="36" t="str">
        <x:v>UI display text.</x:v>
      </x:c>
      <x:c r="S78" s="36" t="str">
        <x:v>Suggestion is correct.</x:v>
      </x:c>
      <x:c r="T78" s="36" t="str">
        <x:v>Suggestion is wrong (e.g. suggests updating SAP price).</x:v>
      </x:c>
      <x:c r="U78" s="36" t="str">
        <x:v>Overdue open line.</x:v>
      </x:c>
      <x:c r="V78" s="36" t="str">
        <x:v>None.</x:v>
      </x:c>
    </x:row>
    <x:row r="79" ht="48" customHeight="1">
      <x:c r="A79" s="36" t="str">
        <x:v>TC-REC-05</x:v>
      </x:c>
      <x:c r="B79" s="36" t="str">
        <x:v>Recommendation/Workbench Testing</x:v>
      </x:c>
      <x:c r="C79" s="36" t="str">
        <x:v>Verify state updates on custom action input.</x:v>
      </x:c>
      <x:c r="D79" s="36" t="str">
        <x:v>PO drawer</x:v>
      </x:c>
      <x:c r="E79" s="36" t="str">
        <x:v>PO 4500002009</x:v>
      </x:c>
      <x:c r="F79" s="36" t="str">
        <x:v>High</x:v>
      </x:c>
      <x:c r="G79" s="36" t="str">
        <x:v>Not Started</x:v>
      </x:c>
      <x:c r="H79" s="36" t="str"/>
      <x:c r="I79" s="36" t="str"/>
      <x:c r="J79" s="36" t="str"/>
      <x:c r="K79" s="36" t="str"/>
      <x:c r="L79" s="36" t="str"/>
      <x:c r="M79" s="36" t="str">
        <x:v>Not Retested</x:v>
      </x:c>
      <x:c r="N79" s="36" t="str"/>
      <x:c r="O79" s="36" t="str">
        <x:v>Add a buyer note: "Contacted rep directly by phone" and click save.</x:v>
      </x:c>
      <x:c r="P79" s="36" t="str">
        <x:v>Note is logged in the action log history and saved.</x:v>
      </x:c>
      <x:c r="Q79" s="36" t="str">
        <x:v>Check if note is written to JSON database.</x:v>
      </x:c>
      <x:c r="R79" s="36" t="str">
        <x:v>app-actions.json</x:v>
      </x:c>
      <x:c r="S79" s="36" t="str">
        <x:v>Log matches input.</x:v>
      </x:c>
      <x:c r="T79" s="36" t="str">
        <x:v>Log is empty or fails to save.</x:v>
      </x:c>
      <x:c r="U79" s="36" t="str">
        <x:v>Open line.</x:v>
      </x:c>
      <x:c r="V79" s="36" t="str">
        <x:v>None.</x:v>
      </x:c>
    </x:row>
    <x:row r="80" ht="48" customHeight="1">
      <x:c r="A80" s="36" t="str">
        <x:v>TC-REC-06</x:v>
      </x:c>
      <x:c r="B80" s="36" t="str">
        <x:v>Recommendation/Workbench Testing</x:v>
      </x:c>
      <x:c r="C80" s="36" t="str">
        <x:v>Ensure inactive PO lines do not generate recommendation cards.</x:v>
      </x:c>
      <x:c r="D80" s="36" t="str">
        <x:v>Recommendation Worklist</x:v>
      </x:c>
      <x:c r="E80" s="36" t="str">
        <x:v>PO 4500002015 (deleted)</x:v>
      </x:c>
      <x:c r="F80" s="36" t="str">
        <x:v>High</x:v>
      </x:c>
      <x:c r="G80" s="36" t="str">
        <x:v>Not Started</x:v>
      </x:c>
      <x:c r="H80" s="36" t="str"/>
      <x:c r="I80" s="36" t="str"/>
      <x:c r="J80" s="36" t="str"/>
      <x:c r="K80" s="36" t="str"/>
      <x:c r="L80" s="36" t="str"/>
      <x:c r="M80" s="36" t="str">
        <x:v>Not Retested</x:v>
      </x:c>
      <x:c r="N80" s="36" t="str"/>
      <x:c r="O80" s="36" t="str">
        <x:v>Check all tabs in the Recommendation Worklist for PO 4500002015.</x:v>
      </x:c>
      <x:c r="P80" s="36" t="str">
        <x:v>PO 4500002015 does not appear anywhere as an active recommendation card.</x:v>
      </x:c>
      <x:c r="Q80" s="36" t="str">
        <x:v>Search row list.</x:v>
      </x:c>
      <x:c r="R80" s="36" t="str">
        <x:v>app-recommendations.json</x:v>
      </x:c>
      <x:c r="S80" s="36" t="str">
        <x:v>Excluded.</x:v>
      </x:c>
      <x:c r="T80" s="36" t="str">
        <x:v>Card generated for deleted PO.</x:v>
      </x:c>
      <x:c r="U80" s="36" t="str">
        <x:v>Reset demo state.</x:v>
      </x:c>
      <x:c r="V80" s="36" t="str">
        <x:v>None.</x:v>
      </x:c>
    </x:row>
    <x:row r="81" ht="48" customHeight="1">
      <x:c r="A81" s="36" t="str">
        <x:v>TC-REC-07</x:v>
      </x:c>
      <x:c r="B81" s="36" t="str">
        <x:v>Recommendation/Workbench Testing</x:v>
      </x:c>
      <x:c r="C81" s="36" t="str">
        <x:v>Reconcile risk severity with priority score.</x:v>
      </x:c>
      <x:c r="D81" s="36" t="str">
        <x:v>Recommendation Worklist</x:v>
      </x:c>
      <x:c r="E81" s="36" t="str">
        <x:v>PO 4500002022</x:v>
      </x:c>
      <x:c r="F81" s="36" t="str">
        <x:v>Medium</x:v>
      </x:c>
      <x:c r="G81" s="36" t="str">
        <x:v>Not Started</x:v>
      </x:c>
      <x:c r="H81" s="36" t="str"/>
      <x:c r="I81" s="36" t="str"/>
      <x:c r="J81" s="36" t="str"/>
      <x:c r="K81" s="36" t="str"/>
      <x:c r="L81" s="36" t="str"/>
      <x:c r="M81" s="36" t="str">
        <x:v>Not Retested</x:v>
      </x:c>
      <x:c r="N81" s="36" t="str"/>
      <x:c r="O81" s="36" t="str">
        <x:v>Open details for PO 4500002022.</x:v>
      </x:c>
      <x:c r="P81" s="36" t="str">
        <x:v>Shows CRITICAL risk level and high priority score (&gt;=75).</x:v>
      </x:c>
      <x:c r="Q81" s="36" t="str">
        <x:v>Verify math in Risk Case TC-RK-01.</x:v>
      </x:c>
      <x:c r="R81" s="36" t="str">
        <x:v>risk_category</x:v>
      </x:c>
      <x:c r="S81" s="36" t="str">
        <x:v>Matches.</x:v>
      </x:c>
      <x:c r="T81" s="36" t="str">
        <x:v>Mismatch.</x:v>
      </x:c>
      <x:c r="U81" s="36" t="str">
        <x:v>High value overdue line.</x:v>
      </x:c>
      <x:c r="V81" s="36" t="str">
        <x:v>None.</x:v>
      </x:c>
    </x:row>
    <x:row r="82" ht="48" customHeight="1">
      <x:c r="A82" s="36" t="str">
        <x:v>TC-DD-01</x:v>
      </x:c>
      <x:c r="B82" s="36" t="str">
        <x:v>Drill-Down Testing</x:v>
      </x:c>
      <x:c r="C82" s="36" t="str">
        <x:v>Verify row count in open drill-down.</x:v>
      </x:c>
      <x:c r="D82" s="36" t="str">
        <x:v>Dashboard</x:v>
      </x:c>
      <x:c r="E82" s="36" t="str">
        <x:v>All</x:v>
      </x:c>
      <x:c r="F82" s="36" t="str">
        <x:v>High</x:v>
      </x:c>
      <x:c r="G82" s="36" t="str">
        <x:v>Not Started</x:v>
      </x:c>
      <x:c r="H82" s="36" t="str"/>
      <x:c r="I82" s="36" t="str"/>
      <x:c r="J82" s="36" t="str"/>
      <x:c r="K82" s="36" t="str"/>
      <x:c r="L82" s="36" t="str"/>
      <x:c r="M82" s="36" t="str">
        <x:v>Not Retested</x:v>
      </x:c>
      <x:c r="N82" s="36" t="str"/>
      <x:c r="O82" s="36" t="str">
        <x:v>Click on the "Open PO Lines" KPI card.</x:v>
      </x:c>
      <x:c r="P82" s="36" t="str">
        <x:v>Navigates to worklist view containing exactly 22 rows.</x:v>
      </x:c>
      <x:c r="Q82" s="36" t="str">
        <x:v>Count rows.</x:v>
      </x:c>
      <x:c r="R82" s="36" t="str">
        <x:v>UI display.</x:v>
      </x:c>
      <x:c r="S82" s="36" t="str">
        <x:v>Count matches 22.</x:v>
      </x:c>
      <x:c r="T82" s="36" t="str">
        <x:v>Count mismatches or lists completed rows.</x:v>
      </x:c>
      <x:c r="U82" s="36" t="str">
        <x:v>Dashboard showing Open PO Lines = 22.</x:v>
      </x:c>
      <x:c r="V82" s="36" t="str">
        <x:v>None.</x:v>
      </x:c>
    </x:row>
    <x:row r="83" ht="48" customHeight="1">
      <x:c r="A83" s="36" t="str">
        <x:v>TC-DD-02</x:v>
      </x:c>
      <x:c r="B83" s="36" t="str">
        <x:v>Drill-Down Testing</x:v>
      </x:c>
      <x:c r="C83" s="36" t="str">
        <x:v>Verify row count in overdue drill-down.</x:v>
      </x:c>
      <x:c r="D83" s="36" t="str">
        <x:v>Dashboard</x:v>
      </x:c>
      <x:c r="E83" s="36" t="str">
        <x:v>All</x:v>
      </x:c>
      <x:c r="F83" s="36" t="str">
        <x:v>High</x:v>
      </x:c>
      <x:c r="G83" s="36" t="str">
        <x:v>Not Started</x:v>
      </x:c>
      <x:c r="H83" s="36" t="str"/>
      <x:c r="I83" s="36" t="str"/>
      <x:c r="J83" s="36" t="str"/>
      <x:c r="K83" s="36" t="str"/>
      <x:c r="L83" s="36" t="str"/>
      <x:c r="M83" s="36" t="str">
        <x:v>Not Retested</x:v>
      </x:c>
      <x:c r="N83" s="36" t="str"/>
      <x:c r="O83" s="36" t="str">
        <x:v>Click on the "Overdue PO Lines" card.</x:v>
      </x:c>
      <x:c r="P83" s="36" t="str">
        <x:v>Navigates to overdue view showing exactly 8 rows.</x:v>
      </x:c>
      <x:c r="Q83" s="36" t="str">
        <x:v>Count rows.</x:v>
      </x:c>
      <x:c r="R83" s="36" t="str">
        <x:v>UI display.</x:v>
      </x:c>
      <x:c r="S83" s="36" t="str">
        <x:v>Count matches 8.</x:v>
      </x:c>
      <x:c r="T83" s="36" t="str">
        <x:v>Mismatch.</x:v>
      </x:c>
      <x:c r="U83" s="36" t="str">
        <x:v>Dashboard showing Overdue PO Lines = 8.</x:v>
      </x:c>
      <x:c r="V83" s="36" t="str">
        <x:v>None.</x:v>
      </x:c>
    </x:row>
    <x:row r="84" ht="48" customHeight="1">
      <x:c r="A84" s="36" t="str">
        <x:v>TC-DD-03</x:v>
      </x:c>
      <x:c r="B84" s="36" t="str">
        <x:v>Drill-Down Testing</x:v>
      </x:c>
      <x:c r="C84" s="36" t="str">
        <x:v>Verify row count in missing confirmation drill-down.</x:v>
      </x:c>
      <x:c r="D84" s="36" t="str">
        <x:v>Dashboard</x:v>
      </x:c>
      <x:c r="E84" s="36" t="str">
        <x:v>All</x:v>
      </x:c>
      <x:c r="F84" s="36" t="str">
        <x:v>High</x:v>
      </x:c>
      <x:c r="G84" s="36" t="str">
        <x:v>Not Started</x:v>
      </x:c>
      <x:c r="H84" s="36" t="str"/>
      <x:c r="I84" s="36" t="str"/>
      <x:c r="J84" s="36" t="str"/>
      <x:c r="K84" s="36" t="str"/>
      <x:c r="L84" s="36" t="str"/>
      <x:c r="M84" s="36" t="str">
        <x:v>Not Retested</x:v>
      </x:c>
      <x:c r="N84" s="36" t="str"/>
      <x:c r="O84" s="36" t="str">
        <x:v>Click the "Pending Acks" card.</x:v>
      </x:c>
      <x:c r="P84" s="36" t="str">
        <x:v>Navigates to Acknowledgement view showing exactly 8 rows.</x:v>
      </x:c>
      <x:c r="Q84" s="36" t="str">
        <x:v>Count rows.</x:v>
      </x:c>
      <x:c r="R84" s="36" t="str">
        <x:v>UI display.</x:v>
      </x:c>
      <x:c r="S84" s="36" t="str">
        <x:v>Count matches 8.</x:v>
      </x:c>
      <x:c r="T84" s="36" t="str">
        <x:v>Mismatch.</x:v>
      </x:c>
      <x:c r="U84" s="36" t="str">
        <x:v>Dashboard showing Pending Acks = 8.</x:v>
      </x:c>
      <x:c r="V84" s="36" t="str">
        <x:v>None.</x:v>
      </x:c>
    </x:row>
    <x:row r="85" ht="48" customHeight="1">
      <x:c r="A85" s="36" t="str">
        <x:v>TC-DD-04</x:v>
      </x:c>
      <x:c r="B85" s="36" t="str">
        <x:v>Drill-Down Testing</x:v>
      </x:c>
      <x:c r="C85" s="36" t="str">
        <x:v>Verify row count in pending GR drill-down.</x:v>
      </x:c>
      <x:c r="D85" s="36" t="str">
        <x:v>Dashboard</x:v>
      </x:c>
      <x:c r="E85" s="36" t="str">
        <x:v>All</x:v>
      </x:c>
      <x:c r="F85" s="36" t="str">
        <x:v>High</x:v>
      </x:c>
      <x:c r="G85" s="36" t="str">
        <x:v>Not Started</x:v>
      </x:c>
      <x:c r="H85" s="36" t="str"/>
      <x:c r="I85" s="36" t="str"/>
      <x:c r="J85" s="36" t="str"/>
      <x:c r="K85" s="36" t="str"/>
      <x:c r="L85" s="36" t="str"/>
      <x:c r="M85" s="36" t="str">
        <x:v>Not Retested</x:v>
      </x:c>
      <x:c r="N85" s="36" t="str"/>
      <x:c r="O85" s="36" t="str">
        <x:v>Click the "Pending GR" card.</x:v>
      </x:c>
      <x:c r="P85" s="36" t="str">
        <x:v>Navigates to filtered list containing exactly 8 rows.</x:v>
      </x:c>
      <x:c r="Q85" s="36" t="str">
        <x:v>Count rows.</x:v>
      </x:c>
      <x:c r="R85" s="36" t="str">
        <x:v>UI display.</x:v>
      </x:c>
      <x:c r="S85" s="36" t="str">
        <x:v>Count matches 8.</x:v>
      </x:c>
      <x:c r="T85" s="36" t="str">
        <x:v>Mismatch.</x:v>
      </x:c>
      <x:c r="U85" s="36" t="str">
        <x:v>Dashboard showing Pending GR = 8.</x:v>
      </x:c>
      <x:c r="V85" s="36" t="str">
        <x:v>None.</x:v>
      </x:c>
    </x:row>
    <x:row r="86" ht="48" customHeight="1">
      <x:c r="A86" s="36" t="str">
        <x:v>TC-DD-05</x:v>
      </x:c>
      <x:c r="B86" s="36" t="str">
        <x:v>Drill-Down Testing</x:v>
      </x:c>
      <x:c r="C86" s="36" t="str">
        <x:v>Verify row count in blocked invoice drill-down.</x:v>
      </x:c>
      <x:c r="D86" s="36" t="str">
        <x:v>Dashboard</x:v>
      </x:c>
      <x:c r="E86" s="36" t="str">
        <x:v>All</x:v>
      </x:c>
      <x:c r="F86" s="36" t="str">
        <x:v>High</x:v>
      </x:c>
      <x:c r="G86" s="36" t="str">
        <x:v>Not Started</x:v>
      </x:c>
      <x:c r="H86" s="36" t="str"/>
      <x:c r="I86" s="36" t="str"/>
      <x:c r="J86" s="36" t="str"/>
      <x:c r="K86" s="36" t="str"/>
      <x:c r="L86" s="36" t="str"/>
      <x:c r="M86" s="36" t="str">
        <x:v>Not Retested</x:v>
      </x:c>
      <x:c r="N86" s="36" t="str"/>
      <x:c r="O86" s="36" t="str">
        <x:v>Click the "Blocked Invoices" card.</x:v>
      </x:c>
      <x:c r="P86" s="36" t="str">
        <x:v>Navigates to list containing exactly 4 rows.</x:v>
      </x:c>
      <x:c r="Q86" s="36" t="str">
        <x:v>Count rows.</x:v>
      </x:c>
      <x:c r="R86" s="36" t="str">
        <x:v>UI display.</x:v>
      </x:c>
      <x:c r="S86" s="36" t="str">
        <x:v>Count matches 4.</x:v>
      </x:c>
      <x:c r="T86" s="36" t="str">
        <x:v>Mismatch.</x:v>
      </x:c>
      <x:c r="U86" s="36" t="str">
        <x:v>Dashboard showing Blocked Invoices = 4.</x:v>
      </x:c>
      <x:c r="V86" s="36" t="str">
        <x:v>Blocked lines: 2012, 2014, 2025, 2028.</x:v>
      </x:c>
    </x:row>
    <x:row r="87" ht="48" customHeight="1">
      <x:c r="A87" s="36" t="str">
        <x:v>TC-DD-06</x:v>
      </x:c>
      <x:c r="B87" s="36" t="str">
        <x:v>Drill-Down Testing</x:v>
      </x:c>
      <x:c r="C87" s="36" t="str">
        <x:v>Verify row count in high-risk drill-down.</x:v>
      </x:c>
      <x:c r="D87" s="36" t="str">
        <x:v>Dashboard</x:v>
      </x:c>
      <x:c r="E87" s="36" t="str">
        <x:v>All</x:v>
      </x:c>
      <x:c r="F87" s="36" t="str">
        <x:v>High</x:v>
      </x:c>
      <x:c r="G87" s="36" t="str">
        <x:v>Not Started</x:v>
      </x:c>
      <x:c r="H87" s="36" t="str"/>
      <x:c r="I87" s="36" t="str"/>
      <x:c r="J87" s="36" t="str"/>
      <x:c r="K87" s="36" t="str"/>
      <x:c r="L87" s="36" t="str"/>
      <x:c r="M87" s="36" t="str">
        <x:v>Not Retested</x:v>
      </x:c>
      <x:c r="N87" s="36" t="str"/>
      <x:c r="O87" s="36" t="str">
        <x:v>Click the "High Risk Orders" card.</x:v>
      </x:c>
      <x:c r="P87" s="36" t="str">
        <x:v>Navigates to list containing exactly 12 rows.</x:v>
      </x:c>
      <x:c r="Q87" s="36" t="str">
        <x:v>Count rows.</x:v>
      </x:c>
      <x:c r="R87" s="36" t="str">
        <x:v>UI display.</x:v>
      </x:c>
      <x:c r="S87" s="36" t="str">
        <x:v>Count matches 12.</x:v>
      </x:c>
      <x:c r="T87" s="36" t="str">
        <x:v>Mismatch.</x:v>
      </x:c>
      <x:c r="U87" s="36" t="str">
        <x:v>Dashboard showing High Risk Orders = 12.</x:v>
      </x:c>
      <x:c r="V87" s="36" t="str">
        <x:v>Excludes deleted flags.</x:v>
      </x:c>
    </x:row>
    <x:row r="88" ht="48" customHeight="1">
      <x:c r="A88" s="36" t="str">
        <x:v>TC-DD-07</x:v>
      </x:c>
      <x:c r="B88" s="36" t="str">
        <x:v>Drill-Down Testing</x:v>
      </x:c>
      <x:c r="C88" s="36" t="str">
        <x:v>Verify supplier details match.</x:v>
      </x:c>
      <x:c r="D88" s="36" t="str">
        <x:v>Supplier Analytics</x:v>
      </x:c>
      <x:c r="E88" s="36" t="str">
        <x:v>Sterling Electronics</x:v>
      </x:c>
      <x:c r="F88" s="36" t="str">
        <x:v>High</x:v>
      </x:c>
      <x:c r="G88" s="36" t="str">
        <x:v>Not Started</x:v>
      </x:c>
      <x:c r="H88" s="36" t="str"/>
      <x:c r="I88" s="36" t="str"/>
      <x:c r="J88" s="36" t="str"/>
      <x:c r="K88" s="36" t="str"/>
      <x:c r="L88" s="36" t="str"/>
      <x:c r="M88" s="36" t="str">
        <x:v>Not Retested</x:v>
      </x:c>
      <x:c r="N88" s="36" t="str"/>
      <x:c r="O88" s="36" t="str">
        <x:v>Click "Sterling Electronics" in scorecards.</x:v>
      </x:c>
      <x:c r="P88" s="36" t="str">
        <x:v>Displays details showing only lines belonging to Sterling.</x:v>
      </x:c>
      <x:c r="Q88" s="36" t="str">
        <x:v>Count lines matching Sterling ID.</x:v>
      </x:c>
      <x:c r="R88" s="36" t="str">
        <x:v>supplier</x:v>
      </x:c>
      <x:c r="S88" s="36" t="str">
        <x:v>Filtered rows match Sterling lines.</x:v>
      </x:c>
      <x:c r="T88" s="36" t="str">
        <x:v>Other suppliers' lines leak in.</x:v>
      </x:c>
      <x:c r="U88" s="36" t="str">
        <x:v>Active rows for Sterling.</x:v>
      </x:c>
      <x:c r="V88" s="36" t="str">
        <x:v>None.</x:v>
      </x:c>
    </x:row>
    <x:row r="89" ht="48" customHeight="1">
      <x:c r="A89" s="36" t="str">
        <x:v>TC-DD-08</x:v>
      </x:c>
      <x:c r="B89" s="36" t="str">
        <x:v>Drill-Down Testing</x:v>
      </x:c>
      <x:c r="C89" s="36" t="str">
        <x:v>Verify buyer details match.</x:v>
      </x:c>
      <x:c r="D89" s="36" t="str">
        <x:v>Dashboard</x:v>
      </x:c>
      <x:c r="E89" s="36" t="str">
        <x:v>Alex Buyer (BUY-01)</x:v>
      </x:c>
      <x:c r="F89" s="36" t="str">
        <x:v>High</x:v>
      </x:c>
      <x:c r="G89" s="36" t="str">
        <x:v>Not Started</x:v>
      </x:c>
      <x:c r="H89" s="36" t="str"/>
      <x:c r="I89" s="36" t="str"/>
      <x:c r="J89" s="36" t="str"/>
      <x:c r="K89" s="36" t="str"/>
      <x:c r="L89" s="36" t="str"/>
      <x:c r="M89" s="36" t="str">
        <x:v>Not Retested</x:v>
      </x:c>
      <x:c r="N89" s="36" t="str"/>
      <x:c r="O89" s="36" t="str">
        <x:v>Click "Alex Buyer" in segment chart.</x:v>
      </x:c>
      <x:c r="P89" s="36" t="str">
        <x:v>Displays filtered queue showing only Alex's lines.</x:v>
      </x:c>
      <x:c r="Q89" s="36" t="str">
        <x:v>Count rows.</x:v>
      </x:c>
      <x:c r="R89" s="36" t="str">
        <x:v>buyer</x:v>
      </x:c>
      <x:c r="S89" s="36" t="str">
        <x:v>Displays only Alex's lines.</x:v>
      </x:c>
      <x:c r="T89" s="36" t="str">
        <x:v>Sarah's lines leak in.</x:v>
      </x:c>
      <x:c r="U89" s="36" t="str">
        <x:v>Active rows for Alex.</x:v>
      </x:c>
      <x:c r="V89" s="36" t="str">
        <x:v>None.</x:v>
      </x:c>
    </x:row>
    <x:row r="90" ht="48" customHeight="1">
      <x:c r="A90" s="36" t="str">
        <x:v>TC-DD-09</x:v>
      </x:c>
      <x:c r="B90" s="36" t="str">
        <x:v>Drill-Down Testing</x:v>
      </x:c>
      <x:c r="C90" s="36" t="str">
        <x:v>Verify plant site details match.</x:v>
      </x:c>
      <x:c r="D90" s="36" t="str">
        <x:v>Dashboard</x:v>
      </x:c>
      <x:c r="E90" s="36" t="str">
        <x:v>Plant PL01</x:v>
      </x:c>
      <x:c r="F90" s="36" t="str">
        <x:v>High</x:v>
      </x:c>
      <x:c r="G90" s="36" t="str">
        <x:v>Not Started</x:v>
      </x:c>
      <x:c r="H90" s="36" t="str"/>
      <x:c r="I90" s="36" t="str"/>
      <x:c r="J90" s="36" t="str"/>
      <x:c r="K90" s="36" t="str"/>
      <x:c r="L90" s="36" t="str"/>
      <x:c r="M90" s="36" t="str">
        <x:v>Not Retested</x:v>
      </x:c>
      <x:c r="N90" s="36" t="str"/>
      <x:c r="O90" s="36" t="str">
        <x:v>Click "Plant PL01" in charts.</x:v>
      </x:c>
      <x:c r="P90" s="36" t="str">
        <x:v>Displays only lines matching PL01.</x:v>
      </x:c>
      <x:c r="Q90" s="36" t="str">
        <x:v>Count rows.</x:v>
      </x:c>
      <x:c r="R90" s="36" t="str">
        <x:v>plant</x:v>
      </x:c>
      <x:c r="S90" s="36" t="str">
        <x:v>Displays only PL01 lines.</x:v>
      </x:c>
      <x:c r="T90" s="36" t="str">
        <x:v>PL02 or PL03 lines leak in.</x:v>
      </x:c>
      <x:c r="U90" s="36" t="str">
        <x:v>Active rows in PL01.</x:v>
      </x:c>
      <x:c r="V90" s="36" t="str">
        <x:v>None.</x:v>
      </x:c>
    </x:row>
    <x:row r="91" ht="48" customHeight="1">
      <x:c r="A91" s="36" t="str">
        <x:v>TC-FIL-01</x:v>
      </x:c>
      <x:c r="B91" s="36" t="str">
        <x:v>Filter &amp; Search Testing</x:v>
      </x:c>
      <x:c r="C91" s="36" t="str">
        <x:v>Verify filtering by supplier updates the workbench.</x:v>
      </x:c>
      <x:c r="D91" s="36" t="str">
        <x:v>Overdue Workbench</x:v>
      </x:c>
      <x:c r="E91" s="36" t="str">
        <x:v>Global Foundry (VEND-002)</x:v>
      </x:c>
      <x:c r="F91" s="36" t="str">
        <x:v>High</x:v>
      </x:c>
      <x:c r="G91" s="36" t="str">
        <x:v>Not Started</x:v>
      </x:c>
      <x:c r="H91" s="36" t="str"/>
      <x:c r="I91" s="36" t="str"/>
      <x:c r="J91" s="36" t="str"/>
      <x:c r="K91" s="36" t="str"/>
      <x:c r="L91" s="36" t="str"/>
      <x:c r="M91" s="36" t="str">
        <x:v>Not Retested</x:v>
      </x:c>
      <x:c r="N91" s="36" t="str"/>
      <x:c r="O91" s="36" t="str">
        <x:v>Select "Global Foundry" from the Supplier dropdown filter.</x:v>
      </x:c>
      <x:c r="P91" s="36" t="str">
        <x:v>Counts and table rows update to display only Global Foundry lines.</x:v>
      </x:c>
      <x:c r="Q91" s="36" t="str">
        <x:v>Verify that all visible rows have supplier = "Global Foundry".</x:v>
      </x:c>
      <x:c r="R91" s="36" t="str">
        <x:v>supplier</x:v>
      </x:c>
      <x:c r="S91" s="36" t="str">
        <x:v>Displayed list contains only Global Foundry PO lines.</x:v>
      </x:c>
      <x:c r="T91" s="36" t="str">
        <x:v>Other suppliers are displayed.</x:v>
      </x:c>
      <x:c r="U91" s="36" t="str">
        <x:v>Demo data reset.</x:v>
      </x:c>
      <x:c r="V91" s="36" t="str">
        <x:v>None.</x:v>
      </x:c>
    </x:row>
    <x:row r="92" ht="48" customHeight="1">
      <x:c r="A92" s="36" t="str">
        <x:v>TC-FIL-02</x:v>
      </x:c>
      <x:c r="B92" s="36" t="str">
        <x:v>Filter &amp; Search Testing</x:v>
      </x:c>
      <x:c r="C92" s="36" t="str">
        <x:v>Verify filtering by plant site works.</x:v>
      </x:c>
      <x:c r="D92" s="36" t="str">
        <x:v>Overdue Workbench</x:v>
      </x:c>
      <x:c r="E92" s="36" t="str">
        <x:v>Plant PL02</x:v>
      </x:c>
      <x:c r="F92" s="36" t="str">
        <x:v>High</x:v>
      </x:c>
      <x:c r="G92" s="36" t="str">
        <x:v>Not Started</x:v>
      </x:c>
      <x:c r="H92" s="36" t="str"/>
      <x:c r="I92" s="36" t="str"/>
      <x:c r="J92" s="36" t="str"/>
      <x:c r="K92" s="36" t="str"/>
      <x:c r="L92" s="36" t="str"/>
      <x:c r="M92" s="36" t="str">
        <x:v>Not Retested</x:v>
      </x:c>
      <x:c r="N92" s="36" t="str"/>
      <x:c r="O92" s="36" t="str">
        <x:v>Select "PL02" from the Plant filter.</x:v>
      </x:c>
      <x:c r="P92" s="36" t="str">
        <x:v>Shows only PL02 rows.</x:v>
      </x:c>
      <x:c r="Q92" s="36" t="str">
        <x:v>Confirm all displayed rows match PL02.</x:v>
      </x:c>
      <x:c r="R92" s="36" t="str">
        <x:v>plant</x:v>
      </x:c>
      <x:c r="S92" s="36" t="str">
        <x:v>Filtered rows match PL02.</x:v>
      </x:c>
      <x:c r="T92" s="36" t="str">
        <x:v>Mismatch.</x:v>
      </x:c>
      <x:c r="U92" s="36" t="str">
        <x:v>Demo data reset.</x:v>
      </x:c>
      <x:c r="V92" s="36" t="str">
        <x:v>None.</x:v>
      </x:c>
    </x:row>
    <x:row r="93" ht="48" customHeight="1">
      <x:c r="A93" s="36" t="str">
        <x:v>TC-FIL-03</x:v>
      </x:c>
      <x:c r="B93" s="36" t="str">
        <x:v>Filter &amp; Search Testing</x:v>
      </x:c>
      <x:c r="C93" s="36" t="str">
        <x:v>Verify filtering by buyer works.</x:v>
      </x:c>
      <x:c r="D93" s="36" t="str">
        <x:v>Overdue Workbench</x:v>
      </x:c>
      <x:c r="E93" s="36" t="str">
        <x:v>Sarah Planner (BUY-02)</x:v>
      </x:c>
      <x:c r="F93" s="36" t="str">
        <x:v>High</x:v>
      </x:c>
      <x:c r="G93" s="36" t="str">
        <x:v>Not Started</x:v>
      </x:c>
      <x:c r="H93" s="36" t="str"/>
      <x:c r="I93" s="36" t="str"/>
      <x:c r="J93" s="36" t="str"/>
      <x:c r="K93" s="36" t="str"/>
      <x:c r="L93" s="36" t="str"/>
      <x:c r="M93" s="36" t="str">
        <x:v>Not Retested</x:v>
      </x:c>
      <x:c r="N93" s="36" t="str"/>
      <x:c r="O93" s="36" t="str">
        <x:v>Select "Sarah Planner" from the Buyer filter.</x:v>
      </x:c>
      <x:c r="P93" s="36" t="str">
        <x:v>Shows only Sarah's rows.</x:v>
      </x:c>
      <x:c r="Q93" s="36" t="str">
        <x:v>Verify all rows match buyer.</x:v>
      </x:c>
      <x:c r="R93" s="36" t="str">
        <x:v>buyer</x:v>
      </x:c>
      <x:c r="S93" s="36" t="str">
        <x:v>Only Sarah's rows visible.</x:v>
      </x:c>
      <x:c r="T93" s="36" t="str">
        <x:v>Alex's rows visible.</x:v>
      </x:c>
      <x:c r="U93" s="36" t="str">
        <x:v>Demo data reset.</x:v>
      </x:c>
      <x:c r="V93" s="36" t="str">
        <x:v>None.</x:v>
      </x:c>
    </x:row>
    <x:row r="94" ht="48" customHeight="1">
      <x:c r="A94" s="36" t="str">
        <x:v>TC-FIL-04</x:v>
      </x:c>
      <x:c r="B94" s="36" t="str">
        <x:v>Filter &amp; Search Testing</x:v>
      </x:c>
      <x:c r="C94" s="36" t="str">
        <x:v>Verify filtering by PO status works.</x:v>
      </x:c>
      <x:c r="D94" s="36" t="str">
        <x:v>Overdue Workbench</x:v>
      </x:c>
      <x:c r="E94" s="36" t="str">
        <x:v>Status PARTIALLY_RECEIVED</x:v>
      </x:c>
      <x:c r="F94" s="36" t="str">
        <x:v>High</x:v>
      </x:c>
      <x:c r="G94" s="36" t="str">
        <x:v>Not Started</x:v>
      </x:c>
      <x:c r="H94" s="36" t="str"/>
      <x:c r="I94" s="36" t="str"/>
      <x:c r="J94" s="36" t="str"/>
      <x:c r="K94" s="36" t="str"/>
      <x:c r="L94" s="36" t="str"/>
      <x:c r="M94" s="36" t="str">
        <x:v>Not Retested</x:v>
      </x:c>
      <x:c r="N94" s="36" t="str"/>
      <x:c r="O94" s="36" t="str">
        <x:v>Select "Partially Received" from the Status filter.</x:v>
      </x:c>
      <x:c r="P94" s="36" t="str">
        <x:v>Shows only partial deliveries.</x:v>
      </x:c>
      <x:c r="Q94" s="36" t="str">
        <x:v>Confirm status matches.</x:v>
      </x:c>
      <x:c r="R94" s="36" t="str">
        <x:v>po_status</x:v>
      </x:c>
      <x:c r="S94" s="36" t="str">
        <x:v>Only partial delivery rows display.</x:v>
      </x:c>
      <x:c r="T94" s="36" t="str">
        <x:v>Fully open or completed rows display.</x:v>
      </x:c>
      <x:c r="U94" s="36" t="str">
        <x:v>Demo data reset.</x:v>
      </x:c>
      <x:c r="V94" s="36" t="str">
        <x:v>None.</x:v>
      </x:c>
    </x:row>
    <x:row r="95" ht="48" customHeight="1">
      <x:c r="A95" s="36" t="str">
        <x:v>TC-FIL-05</x:v>
      </x:c>
      <x:c r="B95" s="36" t="str">
        <x:v>Filter &amp; Search Testing</x:v>
      </x:c>
      <x:c r="C95" s="36" t="str">
        <x:v>Verify filtering by risk level.</x:v>
      </x:c>
      <x:c r="D95" s="36" t="str">
        <x:v>Overdue Workbench</x:v>
      </x:c>
      <x:c r="E95" s="36" t="str">
        <x:v>Risk Category CRITICAL</x:v>
      </x:c>
      <x:c r="F95" s="36" t="str">
        <x:v>High</x:v>
      </x:c>
      <x:c r="G95" s="36" t="str">
        <x:v>Not Started</x:v>
      </x:c>
      <x:c r="H95" s="36" t="str"/>
      <x:c r="I95" s="36" t="str"/>
      <x:c r="J95" s="36" t="str"/>
      <x:c r="K95" s="36" t="str"/>
      <x:c r="L95" s="36" t="str"/>
      <x:c r="M95" s="36" t="str">
        <x:v>Not Retested</x:v>
      </x:c>
      <x:c r="N95" s="36" t="str"/>
      <x:c r="O95" s="36" t="str">
        <x:v>Select "Critical" from the Risk filter.</x:v>
      </x:c>
      <x:c r="P95" s="36" t="str">
        <x:v>Displays only critical risk lines.</x:v>
      </x:c>
      <x:c r="Q95" s="36" t="str">
        <x:v>Match with source risk fields.</x:v>
      </x:c>
      <x:c r="R95" s="36" t="str">
        <x:v>risk_category</x:v>
      </x:c>
      <x:c r="S95" s="36" t="str">
        <x:v>Only critical risk lines visible.</x:v>
      </x:c>
      <x:c r="T95" s="36" t="str">
        <x:v>Low or medium risk lines visible.</x:v>
      </x:c>
      <x:c r="U95" s="36" t="str">
        <x:v>Demo data reset.</x:v>
      </x:c>
      <x:c r="V95" s="36" t="str">
        <x:v>None.</x:v>
      </x:c>
    </x:row>
    <x:row r="96" ht="48" customHeight="1">
      <x:c r="A96" s="36" t="str">
        <x:v>TC-FIL-06</x:v>
      </x:c>
      <x:c r="B96" s="36" t="str">
        <x:v>Filter &amp; Search Testing</x:v>
      </x:c>
      <x:c r="C96" s="36" t="str">
        <x:v>Verify additive filters.</x:v>
      </x:c>
      <x:c r="D96" s="36" t="str">
        <x:v>Overdue Workbench</x:v>
      </x:c>
      <x:c r="E96" s="36" t="str">
        <x:v>Plant PL02, Supplier Global Foundry</x:v>
      </x:c>
      <x:c r="F96" s="36" t="str">
        <x:v>High</x:v>
      </x:c>
      <x:c r="G96" s="36" t="str">
        <x:v>Not Started</x:v>
      </x:c>
      <x:c r="H96" s="36" t="str"/>
      <x:c r="I96" s="36" t="str"/>
      <x:c r="J96" s="36" t="str"/>
      <x:c r="K96" s="36" t="str"/>
      <x:c r="L96" s="36" t="str"/>
      <x:c r="M96" s="36" t="str">
        <x:v>Not Retested</x:v>
      </x:c>
      <x:c r="N96" s="36" t="str"/>
      <x:c r="O96" s="36" t="str">
        <x:v>Apply both PL02 and Global Foundry filters.</x:v>
      </x:c>
      <x:c r="P96" s="36" t="str">
        <x:v>Shows only lines matching BOTH criteria.</x:v>
      </x:c>
      <x:c r="Q96" s="36" t="str">
        <x:v>Check if rows match both values.</x:v>
      </x:c>
      <x:c r="R96" s="36" t="str">
        <x:v>plant, supplier</x:v>
      </x:c>
      <x:c r="S96" s="36" t="str">
        <x:v>List displays intersection subset.</x:v>
      </x:c>
      <x:c r="T96" s="36" t="str">
        <x:v>Displays rows matching only one filter.</x:v>
      </x:c>
      <x:c r="U96" s="36" t="str">
        <x:v>Demo data reset.</x:v>
      </x:c>
      <x:c r="V96" s="36" t="str">
        <x:v>None.</x:v>
      </x:c>
    </x:row>
    <x:row r="97" ht="48" customHeight="1">
      <x:c r="A97" s="36" t="str">
        <x:v>TC-FIL-07</x:v>
      </x:c>
      <x:c r="B97" s="36" t="str">
        <x:v>Filter &amp; Search Testing</x:v>
      </x:c>
      <x:c r="C97" s="36" t="str">
        <x:v>Verify metrics reset when clear filters is clicked.</x:v>
      </x:c>
      <x:c r="D97" s="36" t="str">
        <x:v>Overdue Workbench (Filtered state)</x:v>
      </x:c>
      <x:c r="E97" s="36" t="str">
        <x:v>All</x:v>
      </x:c>
      <x:c r="F97" s="36" t="str">
        <x:v>High</x:v>
      </x:c>
      <x:c r="G97" s="36" t="str">
        <x:v>Not Started</x:v>
      </x:c>
      <x:c r="H97" s="36" t="str"/>
      <x:c r="I97" s="36" t="str"/>
      <x:c r="J97" s="36" t="str"/>
      <x:c r="K97" s="36" t="str"/>
      <x:c r="L97" s="36" t="str"/>
      <x:c r="M97" s="36" t="str">
        <x:v>Not Retested</x:v>
      </x:c>
      <x:c r="N97" s="36" t="str"/>
      <x:c r="O97" s="36" t="str">
        <x:v>Click the "Clear Filters" button.</x:v>
      </x:c>
      <x:c r="P97" s="36" t="str">
        <x:v>All filters reset. Table and counts return to original values.</x:v>
      </x:c>
      <x:c r="Q97" s="36" t="str">
        <x:v>Verify count returns to maximum value (e.g. 22 open PO lines).</x:v>
      </x:c>
      <x:c r="R97" s="36" t="str">
        <x:v>UI display.</x:v>
      </x:c>
      <x:c r="S97" s="36" t="str">
        <x:v>Original metrics restored.</x:v>
      </x:c>
      <x:c r="T97" s="36" t="str">
        <x:v>Filters remain or data counts stay frozen.</x:v>
      </x:c>
      <x:c r="U97" s="36" t="str">
        <x:v>Active filters applied.</x:v>
      </x:c>
      <x:c r="V97" s="36" t="str">
        <x:v>None.</x:v>
      </x:c>
    </x:row>
    <x:row r="98" ht="48" customHeight="1">
      <x:c r="A98" s="36" t="str">
        <x:v>TC-FIL-08</x:v>
      </x:c>
      <x:c r="B98" s="36" t="str">
        <x:v>Filter &amp; Search Testing</x:v>
      </x:c>
      <x:c r="C98" s="36" t="str">
        <x:v>Verify search input for PO numbers.</x:v>
      </x:c>
      <x:c r="D98" s="36" t="str">
        <x:v>Search / Overdue Workbench</x:v>
      </x:c>
      <x:c r="E98" s="36" t="str">
        <x:v>PO 4500002010</x:v>
      </x:c>
      <x:c r="F98" s="36" t="str">
        <x:v>High</x:v>
      </x:c>
      <x:c r="G98" s="36" t="str">
        <x:v>Not Started</x:v>
      </x:c>
      <x:c r="H98" s="36" t="str"/>
      <x:c r="I98" s="36" t="str"/>
      <x:c r="J98" s="36" t="str"/>
      <x:c r="K98" s="36" t="str"/>
      <x:c r="L98" s="36" t="str"/>
      <x:c r="M98" s="36" t="str">
        <x:v>Not Retested</x:v>
      </x:c>
      <x:c r="N98" s="36" t="str"/>
      <x:c r="O98" s="36" t="str">
        <x:v>Type 4500002010 in search input.</x:v>
      </x:c>
      <x:c r="P98" s="36" t="str">
        <x:v>Displays only PO 4500002010.</x:v>
      </x:c>
      <x:c r="Q98" s="36" t="str">
        <x:v>Confirm row matches.</x:v>
      </x:c>
      <x:c r="R98" s="36" t="str">
        <x:v>po_number</x:v>
      </x:c>
      <x:c r="S98" s="36" t="str">
        <x:v>Exact row returned.</x:v>
      </x:c>
      <x:c r="T98" s="36" t="str">
        <x:v>Wrong row or blank page.</x:v>
      </x:c>
      <x:c r="U98" s="36" t="str">
        <x:v>Demo data reset.</x:v>
      </x:c>
      <x:c r="V98" s="36" t="str">
        <x:v>None.</x:v>
      </x:c>
    </x:row>
    <x:row r="99" ht="48" customHeight="1">
      <x:c r="A99" s="36" t="str">
        <x:v>TC-FIL-09</x:v>
      </x:c>
      <x:c r="B99" s="36" t="str">
        <x:v>Filter &amp; Search Testing</x:v>
      </x:c>
      <x:c r="C99" s="36" t="str">
        <x:v>Verify search input for supplier name.</x:v>
      </x:c>
      <x:c r="D99" s="36" t="str">
        <x:v>Search / Overdue Workbench</x:v>
      </x:c>
      <x:c r="E99" s="36" t="str">
        <x:v>Supplier "Global Foundry"</x:v>
      </x:c>
      <x:c r="F99" s="36" t="str">
        <x:v>High</x:v>
      </x:c>
      <x:c r="G99" s="36" t="str">
        <x:v>Not Started</x:v>
      </x:c>
      <x:c r="H99" s="36" t="str"/>
      <x:c r="I99" s="36" t="str"/>
      <x:c r="J99" s="36" t="str"/>
      <x:c r="K99" s="36" t="str"/>
      <x:c r="L99" s="36" t="str"/>
      <x:c r="M99" s="36" t="str">
        <x:v>Not Retested</x:v>
      </x:c>
      <x:c r="N99" s="36" t="str"/>
      <x:c r="O99" s="36" t="str">
        <x:v>Type Foundry in search input.</x:v>
      </x:c>
      <x:c r="P99" s="36" t="str">
        <x:v>Displays only lines matching Global Foundry.</x:v>
      </x:c>
      <x:c r="Q99" s="36" t="str">
        <x:v>Confirm supplier names.</x:v>
      </x:c>
      <x:c r="R99" s="36" t="str">
        <x:v>supplier</x:v>
      </x:c>
      <x:c r="S99" s="36" t="str">
        <x:v>Filtered rows match search token.</x:v>
      </x:c>
      <x:c r="T99" s="36" t="str">
        <x:v>Unrelated suppliers returned.</x:v>
      </x:c>
      <x:c r="U99" s="36" t="str">
        <x:v>Demo data reset.</x:v>
      </x:c>
      <x:c r="V99" s="36" t="str">
        <x:v>None.</x:v>
      </x:c>
    </x:row>
    <x:row r="100" ht="48" customHeight="1">
      <x:c r="A100" s="36" t="str">
        <x:v>TC-DQ-01</x:v>
      </x:c>
      <x:c r="B100" s="36" t="str">
        <x:v>Data Quality Testing</x:v>
      </x:c>
      <x:c r="C100" s="36" t="str">
        <x:v>Verify handling of empty/invalid delivery dates.</x:v>
      </x:c>
      <x:c r="D100" s="36" t="str">
        <x:v>Dashboard / Exceptions</x:v>
      </x:c>
      <x:c r="E100" s="36" t="str">
        <x:v>PO 4500002018</x:v>
      </x:c>
      <x:c r="F100" s="36" t="str">
        <x:v>High</x:v>
      </x:c>
      <x:c r="G100" s="36" t="str">
        <x:v>Not Started</x:v>
      </x:c>
      <x:c r="H100" s="36" t="str"/>
      <x:c r="I100" s="36" t="str"/>
      <x:c r="J100" s="36" t="str"/>
      <x:c r="K100" s="36" t="str"/>
      <x:c r="L100" s="36" t="str"/>
      <x:c r="M100" s="36" t="str">
        <x:v>Not Retested</x:v>
      </x:c>
      <x:c r="N100" s="36" t="str"/>
      <x:c r="O100" s="36" t="str">
        <x:v>Locate PO 4500002018.</x:v>
      </x:c>
      <x:c r="P100" s="36" t="str">
        <x:v>Flagged with a data quality warning: "Invalid delivery date". Excluded from date sorting queues.</x:v>
      </x:c>
      <x:c r="Q100" s="36" t="str">
        <x:v>Confirm value in source database.</x:v>
      </x:c>
      <x:c r="R100" s="36" t="str">
        <x:v>delivery_date, exception_reason</x:v>
      </x:c>
      <x:c r="S100" s="36" t="str">
        <x:v>Flagged and safely handled without system crash.</x:v>
      </x:c>
      <x:c r="T100" s="36" t="str">
        <x:v>Causes page crash or returns wrong overdue days.</x:v>
      </x:c>
      <x:c r="U100" s="36" t="str">
        <x:v>delivery_date = "INVALID_DATE".</x:v>
      </x:c>
      <x:c r="V100" s="36" t="str">
        <x:v>None.</x:v>
      </x:c>
    </x:row>
    <x:row r="101" ht="48" customHeight="1">
      <x:c r="A101" s="36" t="str">
        <x:v>TC-DQ-02</x:v>
      </x:c>
      <x:c r="B101" s="36" t="str">
        <x:v>Data Quality Testing</x:v>
      </x:c>
      <x:c r="C101" s="36" t="str">
        <x:v>Verify handling of null suppliers.</x:v>
      </x:c>
      <x:c r="D101" s="36" t="str">
        <x:v>Dashboard / Exceptions</x:v>
      </x:c>
      <x:c r="E101" s="36" t="str">
        <x:v>PO 4500002030</x:v>
      </x:c>
      <x:c r="F101" s="36" t="str">
        <x:v>High</x:v>
      </x:c>
      <x:c r="G101" s="36" t="str">
        <x:v>Not Started</x:v>
      </x:c>
      <x:c r="H101" s="36" t="str"/>
      <x:c r="I101" s="36" t="str"/>
      <x:c r="J101" s="36" t="str"/>
      <x:c r="K101" s="36" t="str"/>
      <x:c r="L101" s="36" t="str"/>
      <x:c r="M101" s="36" t="str">
        <x:v>Not Retested</x:v>
      </x:c>
      <x:c r="N101" s="36" t="str"/>
      <x:c r="O101" s="36" t="str">
        <x:v>Locate PO 4500002030.</x:v>
      </x:c>
      <x:c r="P101" s="36" t="str">
        <x:v>Flagged with exception: "Missing Supplier Master".</x:v>
      </x:c>
      <x:c r="Q101" s="36" t="str">
        <x:v>Confirm null field.</x:v>
      </x:c>
      <x:c r="R101" s="36" t="str">
        <x:v>supplier, exception_reason</x:v>
      </x:c>
      <x:c r="S101" s="36" t="str">
        <x:v>Flagged.</x:v>
      </x:c>
      <x:c r="T101" s="36" t="str">
        <x:v>Accepted silently or crashes UI.</x:v>
      </x:c>
      <x:c r="U101" s="36" t="str">
        <x:v>supplier = null.</x:v>
      </x:c>
      <x:c r="V101" s="36" t="str">
        <x:v>None.</x:v>
      </x:c>
    </x:row>
    <x:row r="102" ht="48" customHeight="1">
      <x:c r="A102" s="36" t="str">
        <x:v>TC-DQ-03</x:v>
      </x:c>
      <x:c r="B102" s="36" t="str">
        <x:v>Data Quality Testing</x:v>
      </x:c>
      <x:c r="C102" s="36" t="str">
        <x:v>Verify handling of missing buyer.</x:v>
      </x:c>
      <x:c r="D102" s="36" t="str">
        <x:v>Dashboard / Exceptions</x:v>
      </x:c>
      <x:c r="E102" s="36" t="str">
        <x:v>PO with null buyer code.</x:v>
      </x:c>
      <x:c r="F102" s="36" t="str">
        <x:v>Medium</x:v>
      </x:c>
      <x:c r="G102" s="36" t="str">
        <x:v>Not Started</x:v>
      </x:c>
      <x:c r="H102" s="36" t="str"/>
      <x:c r="I102" s="36" t="str"/>
      <x:c r="J102" s="36" t="str"/>
      <x:c r="K102" s="36" t="str"/>
      <x:c r="L102" s="36" t="str"/>
      <x:c r="M102" s="36" t="str">
        <x:v>Not Retested</x:v>
      </x:c>
      <x:c r="N102" s="36" t="str"/>
      <x:c r="O102" s="36" t="str">
        <x:v>Verify if line displays or defaults to "Unassigned".</x:v>
      </x:c>
      <x:c r="P102" s="36" t="str">
        <x:v>Shows buyer as "Unassigned" and does not crash.</x:v>
      </x:c>
      <x:c r="Q102" s="36" t="str">
        <x:v>Confirm null buyer in database.</x:v>
      </x:c>
      <x:c r="R102" s="36" t="str">
        <x:v>buyer</x:v>
      </x:c>
      <x:c r="S102" s="36" t="str">
        <x:v>Defaults gracefully.</x:v>
      </x:c>
      <x:c r="T102" s="36" t="str">
        <x:v>UI crash.</x:v>
      </x:c>
      <x:c r="U102" s="36" t="str">
        <x:v>buyer = null.</x:v>
      </x:c>
      <x:c r="V102" s="36" t="str">
        <x:v>None.</x:v>
      </x:c>
    </x:row>
    <x:row r="103" ht="48" customHeight="1">
      <x:c r="A103" s="36" t="str">
        <x:v>TC-DQ-04</x:v>
      </x:c>
      <x:c r="B103" s="36" t="str">
        <x:v>Data Quality Testing</x:v>
      </x:c>
      <x:c r="C103" s="36" t="str">
        <x:v>Verify handling of null plant.</x:v>
      </x:c>
      <x:c r="D103" s="36" t="str">
        <x:v>Exceptions</x:v>
      </x:c>
      <x:c r="E103" s="36" t="str">
        <x:v>PO with null plant.</x:v>
      </x:c>
      <x:c r="F103" s="36" t="str">
        <x:v>Medium</x:v>
      </x:c>
      <x:c r="G103" s="36" t="str">
        <x:v>Not Started</x:v>
      </x:c>
      <x:c r="H103" s="36" t="str"/>
      <x:c r="I103" s="36" t="str"/>
      <x:c r="J103" s="36" t="str"/>
      <x:c r="K103" s="36" t="str"/>
      <x:c r="L103" s="36" t="str"/>
      <x:c r="M103" s="36" t="str">
        <x:v>Not Retested</x:v>
      </x:c>
      <x:c r="N103" s="36" t="str"/>
      <x:c r="O103" s="36" t="str">
        <x:v>Verify if line displays or defaults to "Unknown Plant".</x:v>
      </x:c>
      <x:c r="P103" s="36" t="str">
        <x:v>Shows plant as "Unknown" without crashing.</x:v>
      </x:c>
      <x:c r="Q103" s="36" t="str">
        <x:v>Confirm null plant.</x:v>
      </x:c>
      <x:c r="R103" s="36" t="str">
        <x:v>plant</x:v>
      </x:c>
      <x:c r="S103" s="36" t="str">
        <x:v>Defaults gracefully.</x:v>
      </x:c>
      <x:c r="T103" s="36" t="str">
        <x:v>UI crash.</x:v>
      </x:c>
      <x:c r="U103" s="36" t="str">
        <x:v>plant = null.</x:v>
      </x:c>
      <x:c r="V103" s="36" t="str">
        <x:v>None.</x:v>
      </x:c>
    </x:row>
    <x:row r="104" ht="48" customHeight="1">
      <x:c r="A104" s="36" t="str">
        <x:v>TC-DQ-05</x:v>
      </x:c>
      <x:c r="B104" s="36" t="str">
        <x:v>Data Quality Testing</x:v>
      </x:c>
      <x:c r="C104" s="36" t="str">
        <x:v>Verify handling of null unit price.</x:v>
      </x:c>
      <x:c r="D104" s="36" t="str">
        <x:v>Exceptions</x:v>
      </x:c>
      <x:c r="E104" s="36" t="str">
        <x:v>PO with null unit price.</x:v>
      </x:c>
      <x:c r="F104" s="36" t="str">
        <x:v>High</x:v>
      </x:c>
      <x:c r="G104" s="36" t="str">
        <x:v>Not Started</x:v>
      </x:c>
      <x:c r="H104" s="36" t="str"/>
      <x:c r="I104" s="36" t="str"/>
      <x:c r="J104" s="36" t="str"/>
      <x:c r="K104" s="36" t="str"/>
      <x:c r="L104" s="36" t="str"/>
      <x:c r="M104" s="36" t="str">
        <x:v>Not Retested</x:v>
      </x:c>
      <x:c r="N104" s="36" t="str"/>
      <x:c r="O104" s="36" t="str">
        <x:v>Verify if line displays or defaults to $0.00.</x:v>
      </x:c>
      <x:c r="P104" s="36" t="str">
        <x:v>Open value is calculated as $0.00 without throwing errors.</x:v>
      </x:c>
      <x:c r="Q104" s="36" t="str">
        <x:v>Confirm null price.</x:v>
      </x:c>
      <x:c r="R104" s="36" t="str">
        <x:v>unit_price</x:v>
      </x:c>
      <x:c r="S104" s="36" t="str">
        <x:v>Defaults to $0.00.</x:v>
      </x:c>
      <x:c r="T104" s="36" t="str">
        <x:v>Fails to render or displays raw null/NaN.</x:v>
      </x:c>
      <x:c r="U104" s="36" t="str">
        <x:v>unit_price = null.</x:v>
      </x:c>
      <x:c r="V104" s="36" t="str">
        <x:v>None.</x:v>
      </x:c>
    </x:row>
    <x:row r="105" ht="48" customHeight="1">
      <x:c r="A105" s="36" t="str">
        <x:v>TC-DQ-06</x:v>
      </x:c>
      <x:c r="B105" s="36" t="str">
        <x:v>Data Quality Testing</x:v>
      </x:c>
      <x:c r="C105" s="36" t="str">
        <x:v>Verify handling of null quantity.</x:v>
      </x:c>
      <x:c r="D105" s="36" t="str">
        <x:v>Exceptions</x:v>
      </x:c>
      <x:c r="E105" s="36" t="str">
        <x:v>PO with null quantity.</x:v>
      </x:c>
      <x:c r="F105" s="36" t="str">
        <x:v>High</x:v>
      </x:c>
      <x:c r="G105" s="36" t="str">
        <x:v>Not Started</x:v>
      </x:c>
      <x:c r="H105" s="36" t="str"/>
      <x:c r="I105" s="36" t="str"/>
      <x:c r="J105" s="36" t="str"/>
      <x:c r="K105" s="36" t="str"/>
      <x:c r="L105" s="36" t="str"/>
      <x:c r="M105" s="36" t="str">
        <x:v>Not Retested</x:v>
      </x:c>
      <x:c r="N105" s="36" t="str"/>
      <x:c r="O105" s="36" t="str">
        <x:v>Verify open quantity defaults to 0.</x:v>
      </x:c>
      <x:c r="P105" s="36" t="str">
        <x:v>Displays ordered quantity as 0 without crashing.</x:v>
      </x:c>
      <x:c r="Q105" s="36" t="str">
        <x:v>Confirm null quantity.</x:v>
      </x:c>
      <x:c r="R105" s="36" t="str">
        <x:v>ordered_quantity</x:v>
      </x:c>
      <x:c r="S105" s="36" t="str">
        <x:v>Defaults to 0.</x:v>
      </x:c>
      <x:c r="T105" s="36" t="str">
        <x:v>UI crash.</x:v>
      </x:c>
      <x:c r="U105" s="36" t="str">
        <x:v>ordered_quantity = null.</x:v>
      </x:c>
      <x:c r="V105" s="36" t="str">
        <x:v>None.</x:v>
      </x:c>
    </x:row>
    <x:row r="106" ht="48" customHeight="1">
      <x:c r="A106" s="36" t="str">
        <x:v>TC-DQ-07</x:v>
      </x:c>
      <x:c r="B106" s="36" t="str">
        <x:v>Data Quality Testing</x:v>
      </x:c>
      <x:c r="C106" s="36" t="str">
        <x:v>Verify check on corrupt date strings (e.g. "9999-99-99").</x:v>
      </x:c>
      <x:c r="D106" s="36" t="str">
        <x:v>Exceptions</x:v>
      </x:c>
      <x:c r="E106" s="36" t="str">
        <x:v>PO with corrupt date format.</x:v>
      </x:c>
      <x:c r="F106" s="36" t="str">
        <x:v>Low</x:v>
      </x:c>
      <x:c r="G106" s="36" t="str">
        <x:v>Not Started</x:v>
      </x:c>
      <x:c r="H106" s="36" t="str"/>
      <x:c r="I106" s="36" t="str"/>
      <x:c r="J106" s="36" t="str"/>
      <x:c r="K106" s="36" t="str"/>
      <x:c r="L106" s="36" t="str"/>
      <x:c r="M106" s="36" t="str">
        <x:v>Not Retested</x:v>
      </x:c>
      <x:c r="N106" s="36" t="str"/>
      <x:c r="O106" s="36" t="str">
        <x:v>Check if the system flags or safely handles the corrupt string.</x:v>
      </x:c>
      <x:c r="P106" s="36" t="str">
        <x:v>Renders raw string or flags error. No UI crash.</x:v>
      </x:c>
      <x:c r="Q106" s="36" t="str">
        <x:v>Check source date.</x:v>
      </x:c>
      <x:c r="R106" s="36" t="str">
        <x:v>delivery_date</x:v>
      </x:c>
      <x:c r="S106" s="36" t="str">
        <x:v>Safe handling.</x:v>
      </x:c>
      <x:c r="T106" s="36" t="str">
        <x:v>Crashes.</x:v>
      </x:c>
      <x:c r="U106" s="36" t="str">
        <x:v>Invalid date format.</x:v>
      </x:c>
      <x:c r="V106" s="36" t="str">
        <x:v>None.</x:v>
      </x:c>
    </x:row>
    <x:row r="107" ht="48" customHeight="1">
      <x:c r="A107" s="36" t="str">
        <x:v>TC-DQ-08</x:v>
      </x:c>
      <x:c r="B107" s="36" t="str">
        <x:v>Data Quality Testing</x:v>
      </x:c>
      <x:c r="C107" s="36" t="str">
        <x:v>Verify handling of negative quantity.</x:v>
      </x:c>
      <x:c r="D107" s="36" t="str">
        <x:v>Exceptions</x:v>
      </x:c>
      <x:c r="E107" s="36" t="str">
        <x:v>PO 4500002029</x:v>
      </x:c>
      <x:c r="F107" s="36" t="str">
        <x:v>High</x:v>
      </x:c>
      <x:c r="G107" s="36" t="str">
        <x:v>Not Started</x:v>
      </x:c>
      <x:c r="H107" s="36" t="str"/>
      <x:c r="I107" s="36" t="str"/>
      <x:c r="J107" s="36" t="str"/>
      <x:c r="K107" s="36" t="str"/>
      <x:c r="L107" s="36" t="str"/>
      <x:c r="M107" s="36" t="str">
        <x:v>Not Retested</x:v>
      </x:c>
      <x:c r="N107" s="36" t="str"/>
      <x:c r="O107" s="36" t="str">
        <x:v>Search for PO 4500002029.</x:v>
      </x:c>
      <x:c r="P107" s="36" t="str">
        <x:v>Flagged with "Negative Quantity" exception warning.</x:v>
      </x:c>
      <x:c r="Q107" s="36" t="str">
        <x:v>Check if excluded from standard sums.</x:v>
      </x:c>
      <x:c r="R107" s="36" t="str">
        <x:v>ordered_quantity, exception_reason</x:v>
      </x:c>
      <x:c r="S107" s="36" t="str">
        <x:v>Exception flagged.</x:v>
      </x:c>
      <x:c r="T107" s="36" t="str">
        <x:v>Accepted silently.</x:v>
      </x:c>
      <x:c r="U107" s="36" t="str">
        <x:v>ordered_quantity = -50.</x:v>
      </x:c>
      <x:c r="V107" s="36" t="str">
        <x:v>None.</x:v>
      </x:c>
    </x:row>
    <x:row r="108" ht="48" customHeight="1">
      <x:c r="A108" s="36" t="str">
        <x:v>TC-DQ-09</x:v>
      </x:c>
      <x:c r="B108" s="36" t="str">
        <x:v>Data Quality Testing</x:v>
      </x:c>
      <x:c r="C108" s="36" t="str">
        <x:v>Verify over-receipt alerts.</x:v>
      </x:c>
      <x:c r="D108" s="36" t="str">
        <x:v>Exceptions</x:v>
      </x:c>
      <x:c r="E108" s="36" t="str">
        <x:v>PO 4500002028</x:v>
      </x:c>
      <x:c r="F108" s="36" t="str">
        <x:v>High</x:v>
      </x:c>
      <x:c r="G108" s="36" t="str">
        <x:v>Not Started</x:v>
      </x:c>
      <x:c r="H108" s="36" t="str"/>
      <x:c r="I108" s="36" t="str"/>
      <x:c r="J108" s="36" t="str"/>
      <x:c r="K108" s="36" t="str"/>
      <x:c r="L108" s="36" t="str"/>
      <x:c r="M108" s="36" t="str">
        <x:v>Not Retested</x:v>
      </x:c>
      <x:c r="N108" s="36" t="str"/>
      <x:c r="O108" s="36" t="str">
        <x:v>Search for PO 4500002028.</x:v>
      </x:c>
      <x:c r="P108" s="36" t="str">
        <x:v>Flagged with quantity variance exception.</x:v>
      </x:c>
      <x:c r="Q108" s="36" t="str">
        <x:v>Confirm values.</x:v>
      </x:c>
      <x:c r="R108" s="36" t="str">
        <x:v>received_quantity, ordered_quantity, exception_reason</x:v>
      </x:c>
      <x:c r="S108" s="36" t="str">
        <x:v>Correct exception flags.</x:v>
      </x:c>
      <x:c r="T108" s="36" t="str">
        <x:v>Accepted silently.</x:v>
      </x:c>
      <x:c r="U108" s="36" t="str">
        <x:v>received_quantity = 120, ordered_quantity = 100.</x:v>
      </x:c>
      <x:c r="V108" s="36" t="str">
        <x:v>None.</x:v>
      </x:c>
    </x:row>
    <x:row r="109" ht="48" customHeight="1">
      <x:c r="A109" s="36" t="str">
        <x:v>TC-DQ-10</x:v>
      </x:c>
      <x:c r="B109" s="36" t="str">
        <x:v>Data Quality Testing</x:v>
      </x:c>
      <x:c r="C109" s="36" t="str">
        <x:v>Verify duplicate detection logic.</x:v>
      </x:c>
      <x:c r="D109" s="36" t="str">
        <x:v>Exceptions</x:v>
      </x:c>
      <x:c r="E109" s="36" t="str">
        <x:v>PO 4500002017</x:v>
      </x:c>
      <x:c r="F109" s="36" t="str">
        <x:v>Low</x:v>
      </x:c>
      <x:c r="G109" s="36" t="str">
        <x:v>Not Started</x:v>
      </x:c>
      <x:c r="H109" s="36" t="str"/>
      <x:c r="I109" s="36" t="str"/>
      <x:c r="J109" s="36" t="str"/>
      <x:c r="K109" s="36" t="str"/>
      <x:c r="L109" s="36" t="str"/>
      <x:c r="M109" s="36" t="str">
        <x:v>Not Retested</x:v>
      </x:c>
      <x:c r="N109" s="36" t="str"/>
      <x:c r="O109" s="36" t="str">
        <x:v>Locate PO 4500002017.</x:v>
      </x:c>
      <x:c r="P109" s="36" t="str">
        <x:v>Flagged with warning: "Potential Duplicate Order".</x:v>
      </x:c>
      <x:c r="Q109" s="36" t="str">
        <x:v>Check if PO details match another active order.</x:v>
      </x:c>
      <x:c r="R109" s="36" t="str">
        <x:v>exception_reason</x:v>
      </x:c>
      <x:c r="S109" s="36" t="str">
        <x:v>Warning displayed.</x:v>
      </x:c>
      <x:c r="T109" s="36" t="str">
        <x:v>No warning displayed.</x:v>
      </x:c>
      <x:c r="U109" s="36" t="str">
        <x:v>Duplicate of 4500002001.</x:v>
      </x:c>
      <x:c r="V109" s="36" t="str">
        <x:v>None.</x:v>
      </x:c>
    </x:row>
    <x:row r="110" ht="48" customHeight="1">
      <x:c r="A110" s="36" t="str">
        <x:v>TC-DQ-11</x:v>
      </x:c>
      <x:c r="B110" s="36" t="str">
        <x:v>Data Quality Testing</x:v>
      </x:c>
      <x:c r="C110" s="36" t="str">
        <x:v>Verify handling of unknown statuses.</x:v>
      </x:c>
      <x:c r="D110" s="36" t="str">
        <x:v>Search</x:v>
      </x:c>
      <x:c r="E110" s="36" t="str">
        <x:v>PO with corrupt status value.</x:v>
      </x:c>
      <x:c r="F110" s="36" t="str">
        <x:v>Low</x:v>
      </x:c>
      <x:c r="G110" s="36" t="str">
        <x:v>Not Started</x:v>
      </x:c>
      <x:c r="H110" s="36" t="str"/>
      <x:c r="I110" s="36" t="str"/>
      <x:c r="J110" s="36" t="str"/>
      <x:c r="K110" s="36" t="str"/>
      <x:c r="L110" s="36" t="str"/>
      <x:c r="M110" s="36" t="str">
        <x:v>Not Retested</x:v>
      </x:c>
      <x:c r="N110" s="36" t="str"/>
      <x:c r="O110" s="36" t="str">
        <x:v>Open details for the PO.</x:v>
      </x:c>
      <x:c r="P110" s="36" t="str">
        <x:v>Defaults to "UNKNOWN" or "UNSPECIFIED" and does not crash.</x:v>
      </x:c>
      <x:c r="Q110" s="36" t="str">
        <x:v>Confirm corrupt status.</x:v>
      </x:c>
      <x:c r="R110" s="36" t="str">
        <x:v>po_status</x:v>
      </x:c>
      <x:c r="S110" s="36" t="str">
        <x:v>Defaults gracefully.</x:v>
      </x:c>
      <x:c r="T110" s="36" t="str">
        <x:v>UI crash.</x:v>
      </x:c>
      <x:c r="U110" s="36" t="str">
        <x:v>Corrupt status value.</x:v>
      </x:c>
      <x:c r="V110" s="36" t="str">
        <x:v>None.</x:v>
      </x:c>
    </x:row>
    <x:row r="111" ht="48" customHeight="1">
      <x:c r="A111" s="36" t="str">
        <x:v>TC-DQ-12</x:v>
      </x:c>
      <x:c r="B111" s="36" t="str">
        <x:v>Data Quality Testing</x:v>
      </x:c>
      <x:c r="C111" s="36" t="str">
        <x:v>Verify handling of missing currency.</x:v>
      </x:c>
      <x:c r="D111" s="36" t="str">
        <x:v>PO Detail</x:v>
      </x:c>
      <x:c r="E111" s="36" t="str">
        <x:v>PO with null currency field.</x:v>
      </x:c>
      <x:c r="F111" s="36" t="str">
        <x:v>Medium</x:v>
      </x:c>
      <x:c r="G111" s="36" t="str">
        <x:v>Not Started</x:v>
      </x:c>
      <x:c r="H111" s="36" t="str"/>
      <x:c r="I111" s="36" t="str"/>
      <x:c r="J111" s="36" t="str"/>
      <x:c r="K111" s="36" t="str"/>
      <x:c r="L111" s="36" t="str"/>
      <x:c r="M111" s="36" t="str">
        <x:v>Not Retested</x:v>
      </x:c>
      <x:c r="N111" s="36" t="str"/>
      <x:c r="O111" s="36" t="str">
        <x:v>Verify if currency defaults to "USD".</x:v>
      </x:c>
      <x:c r="P111" s="36" t="str">
        <x:v>Displays unit prices with "$" or "USD" default symbol.</x:v>
      </x:c>
      <x:c r="Q111" s="36" t="str">
        <x:v>Confirm null currency.</x:v>
      </x:c>
      <x:c r="R111" s="36" t="str">
        <x:v>currency</x:v>
      </x:c>
      <x:c r="S111" s="36" t="str">
        <x:v>Defaults to USD.</x:v>
      </x:c>
      <x:c r="T111" s="36" t="str">
        <x:v>Displays empty currency block or crashes.</x:v>
      </x:c>
      <x:c r="U111" s="36" t="str">
        <x:v>currency = null.</x:v>
      </x:c>
      <x:c r="V111" s="36" t="str">
        <x:v>None.</x:v>
      </x:c>
    </x:row>
    <x:row r="112" ht="48" customHeight="1">
      <x:c r="A112" s="36" t="str">
        <x:v>TC-DQ-13</x:v>
      </x:c>
      <x:c r="B112" s="36" t="str">
        <x:v>Data Quality Testing</x:v>
      </x:c>
      <x:c r="C112" s="36" t="str">
        <x:v>Verify warning when currency differs.</x:v>
      </x:c>
      <x:c r="D112" s="36" t="str">
        <x:v>Exceptions</x:v>
      </x:c>
      <x:c r="E112" s="36" t="str">
        <x:v>PO 4500002019 (EUR)</x:v>
      </x:c>
      <x:c r="F112" s="36" t="str">
        <x:v>Medium</x:v>
      </x:c>
      <x:c r="G112" s="36" t="str">
        <x:v>Not Started</x:v>
      </x:c>
      <x:c r="H112" s="36" t="str"/>
      <x:c r="I112" s="36" t="str"/>
      <x:c r="J112" s="36" t="str"/>
      <x:c r="K112" s="36" t="str"/>
      <x:c r="L112" s="36" t="str"/>
      <x:c r="M112" s="36" t="str">
        <x:v>Not Retested</x:v>
      </x:c>
      <x:c r="N112" s="36" t="str"/>
      <x:c r="O112" s="36" t="str">
        <x:v>View PO 4500002019.</x:v>
      </x:c>
      <x:c r="P112" s="36" t="str">
        <x:v>Displays value in EUR correctly.</x:v>
      </x:c>
      <x:c r="Q112" s="36" t="str">
        <x:v>Compare with source.</x:v>
      </x:c>
      <x:c r="R112" s="36" t="str">
        <x:v>currency</x:v>
      </x:c>
      <x:c r="S112" s="36" t="str">
        <x:v>Renders EUR correctly.</x:v>
      </x:c>
      <x:c r="T112" s="36" t="str">
        <x:v>Mismatch.</x:v>
      </x:c>
      <x:c r="U112" s="36" t="str">
        <x:v>EUR currency in USD-based company code.</x:v>
      </x:c>
      <x:c r="V112" s="36" t="str">
        <x:v>None.</x:v>
      </x:c>
    </x:row>
    <x:row r="113" ht="48" customHeight="1">
      <x:c r="A113" s="36" t="str">
        <x:v>TC-DQ-14</x:v>
      </x:c>
      <x:c r="B113" s="36" t="str">
        <x:v>Data Quality Testing</x:v>
      </x:c>
      <x:c r="C113" s="36" t="str">
        <x:v>Verify deleted lines are excluded from open PO lines.</x:v>
      </x:c>
      <x:c r="D113" s="36" t="str">
        <x:v>Dashboard</x:v>
      </x:c>
      <x:c r="E113" s="36" t="str">
        <x:v>PO 4500002027</x:v>
      </x:c>
      <x:c r="F113" s="36" t="str">
        <x:v>High</x:v>
      </x:c>
      <x:c r="G113" s="36" t="str">
        <x:v>Not Started</x:v>
      </x:c>
      <x:c r="H113" s="36" t="str"/>
      <x:c r="I113" s="36" t="str"/>
      <x:c r="J113" s="36" t="str"/>
      <x:c r="K113" s="36" t="str"/>
      <x:c r="L113" s="36" t="str"/>
      <x:c r="M113" s="36" t="str">
        <x:v>Not Retested</x:v>
      </x:c>
      <x:c r="N113" s="36" t="str"/>
      <x:c r="O113" s="36" t="str">
        <x:v>Reconcile Open PO Lines count.</x:v>
      </x:c>
      <x:c r="P113" s="36" t="str">
        <x:v>Count excludes PO 4500002027.</x:v>
      </x:c>
      <x:c r="Q113" s="36" t="str">
        <x:v>Ensure it is not counted.</x:v>
      </x:c>
      <x:c r="R113" s="36" t="str">
        <x:v>deletion_completion_indicator, open_quantity</x:v>
      </x:c>
      <x:c r="S113" s="36" t="str">
        <x:v>Excluded.</x:v>
      </x:c>
      <x:c r="T113" s="36" t="str">
        <x:v>Included.</x:v>
      </x:c>
      <x:c r="U113" s="36" t="str">
        <x:v>deletion_completion_indicator == DELETED, but open_quantity = 100.</x:v>
      </x:c>
      <x:c r="V113" s="36" t="str">
        <x:v>None.</x:v>
      </x:c>
    </x:row>
    <x:row r="114" ht="48" customHeight="1">
      <x:c r="A114" s="36" t="str">
        <x:v>TC-E2E-01</x:v>
      </x:c>
      <x:c r="B114" s="36" t="str">
        <x:v>End-to-End Scenarios</x:v>
      </x:c>
      <x:c r="C114" s="36" t="str">
        <x:v>Verify full action loop for a critical overdue missing confirmation.</x:v>
      </x:c>
      <x:c r="D114" s="36" t="str">
        <x:v>Dashboard / Overdue Workbench</x:v>
      </x:c>
      <x:c r="E114" s="36" t="str">
        <x:v>PO 4500002023</x:v>
      </x:c>
      <x:c r="F114" s="36" t="str">
        <x:v>Critical</x:v>
      </x:c>
      <x:c r="G114" s="36" t="str">
        <x:v>Not Started</x:v>
      </x:c>
      <x:c r="H114" s="36" t="str"/>
      <x:c r="I114" s="36" t="str"/>
      <x:c r="J114" s="36" t="str"/>
      <x:c r="K114" s="36" t="str"/>
      <x:c r="L114" s="36" t="str"/>
      <x:c r="M114" s="36" t="str">
        <x:v>Not Retested</x:v>
      </x:c>
      <x:c r="N114" s="36" t="str"/>
      <x:c r="O114" s="36" t="str">
        <x:v>1. Reconcile PO 4500002023 is counted on Dashboard in Open PO, Overdue PO, Pending Acks, and High Risk.
2. Open Overdue Workbench and click PO 4500002023.
3. Click "Send Supplier Reminder".
4. Confirm Send.</x:v>
      </x:c>
      <x:c r="P114" s="36" t="str">
        <x:v>PO count and value metrics update.
- PO moves from "Awaiting Action" to "Pending Supplier Response".
- Reminder log record added in history.</x:v>
      </x:c>
      <x:c r="Q114" s="36" t="str">
        <x:v>Check database files.</x:v>
      </x:c>
      <x:c r="R114" s="36" t="str">
        <x:v>app-supplier-reminders.json, app-recommendations.json</x:v>
      </x:c>
      <x:c r="S114" s="36" t="str">
        <x:v>All status changes and log entries match.</x:v>
      </x:c>
      <x:c r="T114" s="36" t="str">
        <x:v>Button is disabled or fails to update lifecycle.</x:v>
      </x:c>
      <x:c r="U114" s="36" t="str">
        <x:v>Reset demo state.</x:v>
      </x:c>
      <x:c r="V114" s="36" t="str">
        <x:v>None.</x:v>
      </x:c>
    </x:row>
    <x:row r="115" ht="48" customHeight="1">
      <x:c r="A115" s="36" t="str">
        <x:v>TC-E2E-02</x:v>
      </x:c>
      <x:c r="B115" s="36" t="str">
        <x:v>End-to-End Scenarios</x:v>
      </x:c>
      <x:c r="C115" s="36" t="str">
        <x:v>Verify completed PO is excluded from all queues.</x:v>
      </x:c>
      <x:c r="D115" s="36" t="str">
        <x:v>Dashboard</x:v>
      </x:c>
      <x:c r="E115" s="36" t="str">
        <x:v>PO 4500002016</x:v>
      </x:c>
      <x:c r="F115" s="36" t="str">
        <x:v>High</x:v>
      </x:c>
      <x:c r="G115" s="36" t="str">
        <x:v>Not Started</x:v>
      </x:c>
      <x:c r="H115" s="36" t="str"/>
      <x:c r="I115" s="36" t="str"/>
      <x:c r="J115" s="36" t="str"/>
      <x:c r="K115" s="36" t="str"/>
      <x:c r="L115" s="36" t="str"/>
      <x:c r="M115" s="36" t="str">
        <x:v>Not Retested</x:v>
      </x:c>
      <x:c r="N115" s="36" t="str"/>
      <x:c r="O115" s="36" t="str">
        <x:v>Verify if PO 4500002016 shows up in any active workbench.</x:v>
      </x:c>
      <x:c r="P115" s="36" t="str">
        <x:v>Completely absent from active lists. Read-only historical drawer is shown only if searched directly.</x:v>
      </x:c>
      <x:c r="Q115" s="36" t="str">
        <x:v>Confirm exclusion.</x:v>
      </x:c>
      <x:c r="R115" s="36" t="str">
        <x:v>deletion_completion_indicator</x:v>
      </x:c>
      <x:c r="S115" s="36" t="str">
        <x:v>Excluded.</x:v>
      </x:c>
      <x:c r="T115" s="36" t="str">
        <x:v>Appears in active dashboard counts.</x:v>
      </x:c>
      <x:c r="U115" s="36" t="str">
        <x:v>Fully received and paid.</x:v>
      </x:c>
      <x:c r="V115" s="36" t="str">
        <x:v>None.</x:v>
      </x:c>
    </x:row>
    <x:row r="116" ht="48" customHeight="1">
      <x:c r="A116" s="36" t="str">
        <x:v>TC-E2E-03</x:v>
      </x:c>
      <x:c r="B116" s="36" t="str">
        <x:v>End-to-End Scenarios</x:v>
      </x:c>
      <x:c r="C116" s="36" t="str">
        <x:v>Verify deleted PO is excluded.</x:v>
      </x:c>
      <x:c r="D116" s="36" t="str">
        <x:v>Dashboard / Overdue Workbench</x:v>
      </x:c>
      <x:c r="E116" s="36" t="str">
        <x:v>PO 4500002015</x:v>
      </x:c>
      <x:c r="F116" s="36" t="str">
        <x:v>High</x:v>
      </x:c>
      <x:c r="G116" s="36" t="str">
        <x:v>Not Started</x:v>
      </x:c>
      <x:c r="H116" s="36" t="str"/>
      <x:c r="I116" s="36" t="str"/>
      <x:c r="J116" s="36" t="str"/>
      <x:c r="K116" s="36" t="str"/>
      <x:c r="L116" s="36" t="str"/>
      <x:c r="M116" s="36" t="str">
        <x:v>Not Retested</x:v>
      </x:c>
      <x:c r="N116" s="36" t="str"/>
      <x:c r="O116" s="36" t="str">
        <x:v>Confirm PO 4500002015 does not trigger overdue alerts.</x:v>
      </x:c>
      <x:c r="P116" s="36" t="str">
        <x:v>Excluded.</x:v>
      </x:c>
      <x:c r="Q116" s="36" t="str">
        <x:v>Confirm exclusion.</x:v>
      </x:c>
      <x:c r="R116" s="36" t="str">
        <x:v>deletion_completion_indicator</x:v>
      </x:c>
      <x:c r="S116" s="36" t="str">
        <x:v>Excluded.</x:v>
      </x:c>
      <x:c r="T116" s="36" t="str">
        <x:v>Included in active metrics.</x:v>
      </x:c>
      <x:c r="U116" s="36" t="str">
        <x:v>Deleted in ERP.</x:v>
      </x:c>
      <x:c r="V116" s="36" t="str">
        <x:v>None.</x:v>
      </x:c>
    </x:row>
    <x:row r="117" ht="48" customHeight="1">
      <x:c r="A117" s="36" t="str">
        <x:v>TC-E2E-04</x:v>
      </x:c>
      <x:c r="B117" s="36" t="str">
        <x:v>End-to-End Scenarios</x:v>
      </x:c>
      <x:c r="C117" s="36" t="str">
        <x:v>Verify price variance workflow.</x:v>
      </x:c>
      <x:c r="D117" s="36" t="str">
        <x:v>Dashboard / Invoice Review</x:v>
      </x:c>
      <x:c r="E117" s="36" t="str">
        <x:v>PO 4500002012</x:v>
      </x:c>
      <x:c r="F117" s="36" t="str">
        <x:v>High</x:v>
      </x:c>
      <x:c r="G117" s="36" t="str">
        <x:v>Not Started</x:v>
      </x:c>
      <x:c r="H117" s="36" t="str"/>
      <x:c r="I117" s="36" t="str"/>
      <x:c r="J117" s="36" t="str"/>
      <x:c r="K117" s="36" t="str"/>
      <x:c r="L117" s="36" t="str"/>
      <x:c r="M117" s="36" t="str">
        <x:v>Not Retested</x:v>
      </x:c>
      <x:c r="N117" s="36" t="str"/>
      <x:c r="O117" s="36" t="str">
        <x:v>1. Confirm PO 4500002012 is not counted in Pending GR.
2. Confirm it is counted in Blocked Invoices.
3. Open details and verify the price variance block is displayed.</x:v>
      </x:c>
      <x:c r="P117" s="36" t="str">
        <x:v>Reconciles correctly.</x:v>
      </x:c>
      <x:c r="Q117" s="36" t="str">
        <x:v>Verify block flag and variance fields.</x:v>
      </x:c>
      <x:c r="R117" s="36" t="str">
        <x:v>invoice_blocked_flag, price_variance</x:v>
      </x:c>
      <x:c r="S117" s="36" t="str">
        <x:v>Price variance block is displayed.</x:v>
      </x:c>
      <x:c r="T117" s="36" t="str">
        <x:v>Block is missing or counted as pending GR.</x:v>
      </x:c>
      <x:c r="U117" s="36" t="str">
        <x:v>GR complete, invoice price blocked.</x:v>
      </x:c>
      <x:c r="V117" s="36" t="str">
        <x:v>None.</x:v>
      </x:c>
    </x:row>
    <x:row r="118" ht="48" customHeight="1">
      <x:c r="A118" s="36" t="str">
        <x:v>TC-E2E-05</x:v>
      </x:c>
      <x:c r="B118" s="36" t="str">
        <x:v>End-to-End Scenarios</x:v>
      </x:c>
      <x:c r="C118" s="36" t="str">
        <x:v>Verify rate limit blocks duplicate reminders.</x:v>
      </x:c>
      <x:c r="D118" s="36" t="str">
        <x:v>Overdue Workbench</x:v>
      </x:c>
      <x:c r="E118" s="36" t="str">
        <x:v>PO 4500002008</x:v>
      </x:c>
      <x:c r="F118" s="36" t="str">
        <x:v>High</x:v>
      </x:c>
      <x:c r="G118" s="36" t="str">
        <x:v>Not Started</x:v>
      </x:c>
      <x:c r="H118" s="36" t="str"/>
      <x:c r="I118" s="36" t="str"/>
      <x:c r="J118" s="36" t="str"/>
      <x:c r="K118" s="36" t="str"/>
      <x:c r="L118" s="36" t="str"/>
      <x:c r="M118" s="36" t="str">
        <x:v>Not Retested</x:v>
      </x:c>
      <x:c r="N118" s="36" t="str"/>
      <x:c r="O118" s="36" t="str">
        <x:v>1. Open PO 4500002008 in details.
2. Attempt to click "Send Supplier Reminder".</x:v>
      </x:c>
      <x:c r="P118" s="36" t="str">
        <x:v>Button is disabled. Warning banner displays last sent date.</x:v>
      </x:c>
      <x:c r="Q118" s="36" t="str">
        <x:v>Confirm rate-limiting.</x:v>
      </x:c>
      <x:c r="R118" s="36" t="str">
        <x:v>last_reminder_date</x:v>
      </x:c>
      <x:c r="S118" s="36" t="str">
        <x:v>Double transmission blocked.</x:v>
      </x:c>
      <x:c r="T118" s="36" t="str">
        <x:v>Allows clicking and sending.</x:v>
      </x:c>
      <x:c r="U118" s="36" t="str">
        <x:v>last_reminder_date is June 4, 2026.</x:v>
      </x:c>
      <x:c r="V118" s="36" t="str">
        <x:v>None.</x:v>
      </x:c>
    </x:row>
  </x:sheetData>
  <x:mergeCells>
    <x:mergeCell ref="A1:V1"/>
  </x:mergeCells>
  <x:conditionalFormatting sqref="G3:G118">
    <x:cfRule type="expression" dxfId="0" priority="1">
      <x:formula>G3="Pass"</x:formula>
    </x:cfRule>
    <x:cfRule type="expression" dxfId="1" priority="2">
      <x:formula>G3="Fail"</x:formula>
    </x:cfRule>
    <x:cfRule type="expression" dxfId="2" priority="3">
      <x:formula>G3="Blocked"</x:formula>
    </x:cfRule>
    <x:cfRule type="expression" dxfId="3" priority="4">
      <x:formula>G3="In Progress"</x:formula>
    </x:cfRule>
  </x:conditionalFormatting>
  <x:dataValidations count="4">
    <x:dataValidation type="list" sqref="G3:G118">
      <x:formula1>Lists!$A$2:$A$7</x:formula1>
    </x:dataValidation>
    <x:dataValidation type="list" sqref="F3:F118">
      <x:formula1>Lists!$E$2:$E$5</x:formula1>
    </x:dataValidation>
    <x:dataValidation type="list" sqref="J3:J118">
      <x:formula1>Lists!$C$2:$C$5</x:formula1>
    </x:dataValidation>
    <x:dataValidation type="list" sqref="M3:M118">
      <x:formula1>Lists!$B$2:$B$7</x:formula1>
    </x:dataValidation>
  </x:dataValidations>
  <x:pageMargins left="0.7" right="0.7" top="0.75" bottom="0.75" header="0.3" footer="0.3"/>
  <x:tableParts count="1">
    <x:tablePart xmlns:r="http://schemas.openxmlformats.org/officeDocument/2006/relationships" r:id="Rad942aa280f14209"/>
  </x:tableParts>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14" hidden="0" customWidth="1"/>
    <x:col min="4" max="4" width="24" hidden="0" customWidth="1"/>
    <x:col min="5" max="5" width="12" hidden="0" customWidth="1"/>
    <x:col min="6" max="6" width="12" hidden="0" customWidth="1"/>
    <x:col min="7" max="7" width="16" hidden="0" customWidth="1"/>
    <x:col min="8" max="8" width="34" hidden="0" customWidth="1"/>
    <x:col min="9" max="9" width="42" hidden="0" customWidth="1"/>
    <x:col min="10" max="10" width="34" hidden="0" customWidth="1"/>
    <x:col min="11" max="11" width="34" hidden="0" customWidth="1"/>
    <x:col min="12" max="12" width="24" hidden="0" customWidth="1"/>
    <x:col min="13" max="13" width="16" hidden="0" customWidth="1"/>
    <x:col min="14" max="14" width="34" hidden="0" customWidth="1"/>
    <x:col min="15" max="15" width="16" hidden="0" customWidth="1"/>
    <x:col min="16" max="16" width="14" hidden="0" customWidth="1"/>
    <x:col min="17" max="17" width="16" hidden="0" customWidth="1"/>
    <x:col min="18" max="18" width="24" hidden="0" customWidth="1"/>
  </x:cols>
  <x:sheetData>
    <x:row r="1">
      <x:c r="A1" s="5" t="str">
        <x:v>Ongoing Bug Log - Record issues found during manual testing</x:v>
      </x:c>
      <x:c r="B1" s="5"/>
      <x:c r="C1" s="5"/>
      <x:c r="D1" s="5"/>
      <x:c r="E1" s="5"/>
      <x:c r="F1" s="5"/>
      <x:c r="G1" s="5"/>
      <x:c r="H1" s="5"/>
      <x:c r="I1" s="5"/>
      <x:c r="J1" s="5"/>
      <x:c r="K1" s="5"/>
      <x:c r="L1" s="5"/>
      <x:c r="M1" s="5"/>
      <x:c r="N1" s="5"/>
      <x:c r="O1" s="5"/>
      <x:c r="P1" s="5"/>
      <x:c r="Q1" s="5"/>
      <x:c r="R1" s="5"/>
    </x:row>
    <x:row r="2">
      <x:c r="A2" s="14" t="str">
        <x:v>Bug ID</x:v>
      </x:c>
      <x:c r="B2" s="14" t="str">
        <x:v>Linked Test Case ID</x:v>
      </x:c>
      <x:c r="C2" s="14" t="str">
        <x:v>Date Found</x:v>
      </x:c>
      <x:c r="D2" s="14" t="str">
        <x:v>Module / Area</x:v>
      </x:c>
      <x:c r="E2" s="14" t="str">
        <x:v>Severity</x:v>
      </x:c>
      <x:c r="F2" s="14" t="str">
        <x:v>Priority</x:v>
      </x:c>
      <x:c r="G2" s="14" t="str">
        <x:v>Bug Status</x:v>
      </x:c>
      <x:c r="H2" s="14" t="str">
        <x:v>Bug Summary</x:v>
      </x:c>
      <x:c r="I2" s="14" t="str">
        <x:v>Steps to Reproduce</x:v>
      </x:c>
      <x:c r="J2" s="14" t="str">
        <x:v>Expected Result</x:v>
      </x:c>
      <x:c r="K2" s="14" t="str">
        <x:v>Actual Result</x:v>
      </x:c>
      <x:c r="L2" s="14" t="str">
        <x:v>Screenshot / Evidence Link</x:v>
      </x:c>
      <x:c r="M2" s="14" t="str">
        <x:v>Assigned To</x:v>
      </x:c>
      <x:c r="N2" s="14" t="str">
        <x:v>Fix Notes</x:v>
      </x:c>
      <x:c r="O2" s="14" t="str">
        <x:v>Retest Result</x:v>
      </x:c>
      <x:c r="P2" s="14" t="str">
        <x:v>Closed Date</x:v>
      </x:c>
      <x:c r="Q2" s="14" t="str">
        <x:v>Release / Build</x:v>
      </x:c>
      <x:c r="R2" s="14" t="str">
        <x:v>Root Cause</x:v>
      </x:c>
    </x:row>
    <x:row r="3" ht="42" customHeight="1">
      <x:c r="A3" s="36"/>
      <x:c r="B3" s="36"/>
      <x:c r="C3" s="36"/>
      <x:c r="D3" s="36"/>
      <x:c r="E3" s="36"/>
      <x:c r="F3" s="36"/>
      <x:c r="G3" s="36"/>
      <x:c r="H3" s="36"/>
      <x:c r="I3" s="36"/>
      <x:c r="J3" s="36"/>
      <x:c r="K3" s="36"/>
      <x:c r="L3" s="36"/>
      <x:c r="M3" s="36"/>
      <x:c r="N3" s="36"/>
      <x:c r="O3" s="36"/>
      <x:c r="P3" s="36"/>
      <x:c r="Q3" s="36"/>
      <x:c r="R3" s="36"/>
    </x:row>
    <x:row r="4" ht="42" customHeight="1">
      <x:c r="A4" s="36"/>
      <x:c r="B4" s="36"/>
      <x:c r="C4" s="36"/>
      <x:c r="D4" s="36"/>
      <x:c r="E4" s="36"/>
      <x:c r="F4" s="36"/>
      <x:c r="G4" s="36"/>
      <x:c r="H4" s="36"/>
      <x:c r="I4" s="36"/>
      <x:c r="J4" s="36"/>
      <x:c r="K4" s="36"/>
      <x:c r="L4" s="36"/>
      <x:c r="M4" s="36"/>
      <x:c r="N4" s="36"/>
      <x:c r="O4" s="36"/>
      <x:c r="P4" s="36"/>
      <x:c r="Q4" s="36"/>
      <x:c r="R4" s="36"/>
    </x:row>
    <x:row r="5" ht="42" customHeight="1">
      <x:c r="A5" s="36"/>
      <x:c r="B5" s="36"/>
      <x:c r="C5" s="36"/>
      <x:c r="D5" s="36"/>
      <x:c r="E5" s="36"/>
      <x:c r="F5" s="36"/>
      <x:c r="G5" s="36"/>
      <x:c r="H5" s="36"/>
      <x:c r="I5" s="36"/>
      <x:c r="J5" s="36"/>
      <x:c r="K5" s="36"/>
      <x:c r="L5" s="36"/>
      <x:c r="M5" s="36"/>
      <x:c r="N5" s="36"/>
      <x:c r="O5" s="36"/>
      <x:c r="P5" s="36"/>
      <x:c r="Q5" s="36"/>
      <x:c r="R5" s="36"/>
    </x:row>
    <x:row r="6" ht="42" customHeight="1">
      <x:c r="A6" s="36"/>
      <x:c r="B6" s="36"/>
      <x:c r="C6" s="36"/>
      <x:c r="D6" s="36"/>
      <x:c r="E6" s="36"/>
      <x:c r="F6" s="36"/>
      <x:c r="G6" s="36"/>
      <x:c r="H6" s="36"/>
      <x:c r="I6" s="36"/>
      <x:c r="J6" s="36"/>
      <x:c r="K6" s="36"/>
      <x:c r="L6" s="36"/>
      <x:c r="M6" s="36"/>
      <x:c r="N6" s="36"/>
      <x:c r="O6" s="36"/>
      <x:c r="P6" s="36"/>
      <x:c r="Q6" s="36"/>
      <x:c r="R6" s="36"/>
    </x:row>
    <x:row r="7" ht="42" customHeight="1">
      <x:c r="A7" s="36"/>
      <x:c r="B7" s="36"/>
      <x:c r="C7" s="36"/>
      <x:c r="D7" s="36"/>
      <x:c r="E7" s="36"/>
      <x:c r="F7" s="36"/>
      <x:c r="G7" s="36"/>
      <x:c r="H7" s="36"/>
      <x:c r="I7" s="36"/>
      <x:c r="J7" s="36"/>
      <x:c r="K7" s="36"/>
      <x:c r="L7" s="36"/>
      <x:c r="M7" s="36"/>
      <x:c r="N7" s="36"/>
      <x:c r="O7" s="36"/>
      <x:c r="P7" s="36"/>
      <x:c r="Q7" s="36"/>
      <x:c r="R7" s="36"/>
    </x:row>
    <x:row r="8" ht="42" customHeight="1">
      <x:c r="A8" s="36"/>
      <x:c r="B8" s="36"/>
      <x:c r="C8" s="36"/>
      <x:c r="D8" s="36"/>
      <x:c r="E8" s="36"/>
      <x:c r="F8" s="36"/>
      <x:c r="G8" s="36"/>
      <x:c r="H8" s="36"/>
      <x:c r="I8" s="36"/>
      <x:c r="J8" s="36"/>
      <x:c r="K8" s="36"/>
      <x:c r="L8" s="36"/>
      <x:c r="M8" s="36"/>
      <x:c r="N8" s="36"/>
      <x:c r="O8" s="36"/>
      <x:c r="P8" s="36"/>
      <x:c r="Q8" s="36"/>
      <x:c r="R8" s="36"/>
    </x:row>
    <x:row r="9" ht="42" customHeight="1">
      <x:c r="A9" s="36"/>
      <x:c r="B9" s="36"/>
      <x:c r="C9" s="36"/>
      <x:c r="D9" s="36"/>
      <x:c r="E9" s="36"/>
      <x:c r="F9" s="36"/>
      <x:c r="G9" s="36"/>
      <x:c r="H9" s="36"/>
      <x:c r="I9" s="36"/>
      <x:c r="J9" s="36"/>
      <x:c r="K9" s="36"/>
      <x:c r="L9" s="36"/>
      <x:c r="M9" s="36"/>
      <x:c r="N9" s="36"/>
      <x:c r="O9" s="36"/>
      <x:c r="P9" s="36"/>
      <x:c r="Q9" s="36"/>
      <x:c r="R9" s="36"/>
    </x:row>
    <x:row r="10" ht="42" customHeight="1">
      <x:c r="A10" s="36"/>
      <x:c r="B10" s="36"/>
      <x:c r="C10" s="36"/>
      <x:c r="D10" s="36"/>
      <x:c r="E10" s="36"/>
      <x:c r="F10" s="36"/>
      <x:c r="G10" s="36"/>
      <x:c r="H10" s="36"/>
      <x:c r="I10" s="36"/>
      <x:c r="J10" s="36"/>
      <x:c r="K10" s="36"/>
      <x:c r="L10" s="36"/>
      <x:c r="M10" s="36"/>
      <x:c r="N10" s="36"/>
      <x:c r="O10" s="36"/>
      <x:c r="P10" s="36"/>
      <x:c r="Q10" s="36"/>
      <x:c r="R10" s="36"/>
    </x:row>
    <x:row r="11" ht="42" customHeight="1">
      <x:c r="A11" s="36"/>
      <x:c r="B11" s="36"/>
      <x:c r="C11" s="36"/>
      <x:c r="D11" s="36"/>
      <x:c r="E11" s="36"/>
      <x:c r="F11" s="36"/>
      <x:c r="G11" s="36"/>
      <x:c r="H11" s="36"/>
      <x:c r="I11" s="36"/>
      <x:c r="J11" s="36"/>
      <x:c r="K11" s="36"/>
      <x:c r="L11" s="36"/>
      <x:c r="M11" s="36"/>
      <x:c r="N11" s="36"/>
      <x:c r="O11" s="36"/>
      <x:c r="P11" s="36"/>
      <x:c r="Q11" s="36"/>
      <x:c r="R11" s="36"/>
    </x:row>
    <x:row r="12" ht="42" customHeight="1">
      <x:c r="A12" s="36"/>
      <x:c r="B12" s="36"/>
      <x:c r="C12" s="36"/>
      <x:c r="D12" s="36"/>
      <x:c r="E12" s="36"/>
      <x:c r="F12" s="36"/>
      <x:c r="G12" s="36"/>
      <x:c r="H12" s="36"/>
      <x:c r="I12" s="36"/>
      <x:c r="J12" s="36"/>
      <x:c r="K12" s="36"/>
      <x:c r="L12" s="36"/>
      <x:c r="M12" s="36"/>
      <x:c r="N12" s="36"/>
      <x:c r="O12" s="36"/>
      <x:c r="P12" s="36"/>
      <x:c r="Q12" s="36"/>
      <x:c r="R12" s="36"/>
    </x:row>
    <x:row r="13" ht="42" customHeight="1">
      <x:c r="A13" s="36"/>
      <x:c r="B13" s="36"/>
      <x:c r="C13" s="36"/>
      <x:c r="D13" s="36"/>
      <x:c r="E13" s="36"/>
      <x:c r="F13" s="36"/>
      <x:c r="G13" s="36"/>
      <x:c r="H13" s="36"/>
      <x:c r="I13" s="36"/>
      <x:c r="J13" s="36"/>
      <x:c r="K13" s="36"/>
      <x:c r="L13" s="36"/>
      <x:c r="M13" s="36"/>
      <x:c r="N13" s="36"/>
      <x:c r="O13" s="36"/>
      <x:c r="P13" s="36"/>
      <x:c r="Q13" s="36"/>
      <x:c r="R13" s="36"/>
    </x:row>
    <x:row r="14" ht="42" customHeight="1">
      <x:c r="A14" s="36"/>
      <x:c r="B14" s="36"/>
      <x:c r="C14" s="36"/>
      <x:c r="D14" s="36"/>
      <x:c r="E14" s="36"/>
      <x:c r="F14" s="36"/>
      <x:c r="G14" s="36"/>
      <x:c r="H14" s="36"/>
      <x:c r="I14" s="36"/>
      <x:c r="J14" s="36"/>
      <x:c r="K14" s="36"/>
      <x:c r="L14" s="36"/>
      <x:c r="M14" s="36"/>
      <x:c r="N14" s="36"/>
      <x:c r="O14" s="36"/>
      <x:c r="P14" s="36"/>
      <x:c r="Q14" s="36"/>
      <x:c r="R14" s="36"/>
    </x:row>
    <x:row r="15" ht="42" customHeight="1">
      <x:c r="A15" s="36"/>
      <x:c r="B15" s="36"/>
      <x:c r="C15" s="36"/>
      <x:c r="D15" s="36"/>
      <x:c r="E15" s="36"/>
      <x:c r="F15" s="36"/>
      <x:c r="G15" s="36"/>
      <x:c r="H15" s="36"/>
      <x:c r="I15" s="36"/>
      <x:c r="J15" s="36"/>
      <x:c r="K15" s="36"/>
      <x:c r="L15" s="36"/>
      <x:c r="M15" s="36"/>
      <x:c r="N15" s="36"/>
      <x:c r="O15" s="36"/>
      <x:c r="P15" s="36"/>
      <x:c r="Q15" s="36"/>
      <x:c r="R15" s="36"/>
    </x:row>
    <x:row r="16" ht="42" customHeight="1">
      <x:c r="A16" s="36"/>
      <x:c r="B16" s="36"/>
      <x:c r="C16" s="36"/>
      <x:c r="D16" s="36"/>
      <x:c r="E16" s="36"/>
      <x:c r="F16" s="36"/>
      <x:c r="G16" s="36"/>
      <x:c r="H16" s="36"/>
      <x:c r="I16" s="36"/>
      <x:c r="J16" s="36"/>
      <x:c r="K16" s="36"/>
      <x:c r="L16" s="36"/>
      <x:c r="M16" s="36"/>
      <x:c r="N16" s="36"/>
      <x:c r="O16" s="36"/>
      <x:c r="P16" s="36"/>
      <x:c r="Q16" s="36"/>
      <x:c r="R16" s="36"/>
    </x:row>
    <x:row r="17" ht="42" customHeight="1">
      <x:c r="A17" s="36"/>
      <x:c r="B17" s="36"/>
      <x:c r="C17" s="36"/>
      <x:c r="D17" s="36"/>
      <x:c r="E17" s="36"/>
      <x:c r="F17" s="36"/>
      <x:c r="G17" s="36"/>
      <x:c r="H17" s="36"/>
      <x:c r="I17" s="36"/>
      <x:c r="J17" s="36"/>
      <x:c r="K17" s="36"/>
      <x:c r="L17" s="36"/>
      <x:c r="M17" s="36"/>
      <x:c r="N17" s="36"/>
      <x:c r="O17" s="36"/>
      <x:c r="P17" s="36"/>
      <x:c r="Q17" s="36"/>
      <x:c r="R17" s="36"/>
    </x:row>
    <x:row r="18" ht="42" customHeight="1">
      <x:c r="A18" s="36"/>
      <x:c r="B18" s="36"/>
      <x:c r="C18" s="36"/>
      <x:c r="D18" s="36"/>
      <x:c r="E18" s="36"/>
      <x:c r="F18" s="36"/>
      <x:c r="G18" s="36"/>
      <x:c r="H18" s="36"/>
      <x:c r="I18" s="36"/>
      <x:c r="J18" s="36"/>
      <x:c r="K18" s="36"/>
      <x:c r="L18" s="36"/>
      <x:c r="M18" s="36"/>
      <x:c r="N18" s="36"/>
      <x:c r="O18" s="36"/>
      <x:c r="P18" s="36"/>
      <x:c r="Q18" s="36"/>
      <x:c r="R18" s="36"/>
    </x:row>
    <x:row r="19" ht="42" customHeight="1">
      <x:c r="A19" s="36"/>
      <x:c r="B19" s="36"/>
      <x:c r="C19" s="36"/>
      <x:c r="D19" s="36"/>
      <x:c r="E19" s="36"/>
      <x:c r="F19" s="36"/>
      <x:c r="G19" s="36"/>
      <x:c r="H19" s="36"/>
      <x:c r="I19" s="36"/>
      <x:c r="J19" s="36"/>
      <x:c r="K19" s="36"/>
      <x:c r="L19" s="36"/>
      <x:c r="M19" s="36"/>
      <x:c r="N19" s="36"/>
      <x:c r="O19" s="36"/>
      <x:c r="P19" s="36"/>
      <x:c r="Q19" s="36"/>
      <x:c r="R19" s="36"/>
    </x:row>
    <x:row r="20" ht="42" customHeight="1">
      <x:c r="A20" s="36"/>
      <x:c r="B20" s="36"/>
      <x:c r="C20" s="36"/>
      <x:c r="D20" s="36"/>
      <x:c r="E20" s="36"/>
      <x:c r="F20" s="36"/>
      <x:c r="G20" s="36"/>
      <x:c r="H20" s="36"/>
      <x:c r="I20" s="36"/>
      <x:c r="J20" s="36"/>
      <x:c r="K20" s="36"/>
      <x:c r="L20" s="36"/>
      <x:c r="M20" s="36"/>
      <x:c r="N20" s="36"/>
      <x:c r="O20" s="36"/>
      <x:c r="P20" s="36"/>
      <x:c r="Q20" s="36"/>
      <x:c r="R20" s="36"/>
    </x:row>
    <x:row r="21" ht="42" customHeight="1">
      <x:c r="A21" s="36"/>
      <x:c r="B21" s="36"/>
      <x:c r="C21" s="36"/>
      <x:c r="D21" s="36"/>
      <x:c r="E21" s="36"/>
      <x:c r="F21" s="36"/>
      <x:c r="G21" s="36"/>
      <x:c r="H21" s="36"/>
      <x:c r="I21" s="36"/>
      <x:c r="J21" s="36"/>
      <x:c r="K21" s="36"/>
      <x:c r="L21" s="36"/>
      <x:c r="M21" s="36"/>
      <x:c r="N21" s="36"/>
      <x:c r="O21" s="36"/>
      <x:c r="P21" s="36"/>
      <x:c r="Q21" s="36"/>
      <x:c r="R21" s="36"/>
    </x:row>
    <x:row r="22" ht="42" customHeight="1">
      <x:c r="A22" s="36"/>
      <x:c r="B22" s="36"/>
      <x:c r="C22" s="36"/>
      <x:c r="D22" s="36"/>
      <x:c r="E22" s="36"/>
      <x:c r="F22" s="36"/>
      <x:c r="G22" s="36"/>
      <x:c r="H22" s="36"/>
      <x:c r="I22" s="36"/>
      <x:c r="J22" s="36"/>
      <x:c r="K22" s="36"/>
      <x:c r="L22" s="36"/>
      <x:c r="M22" s="36"/>
      <x:c r="N22" s="36"/>
      <x:c r="O22" s="36"/>
      <x:c r="P22" s="36"/>
      <x:c r="Q22" s="36"/>
      <x:c r="R22" s="36"/>
    </x:row>
    <x:row r="23" ht="42" customHeight="1">
      <x:c r="A23" s="36"/>
      <x:c r="B23" s="36"/>
      <x:c r="C23" s="36"/>
      <x:c r="D23" s="36"/>
      <x:c r="E23" s="36"/>
      <x:c r="F23" s="36"/>
      <x:c r="G23" s="36"/>
      <x:c r="H23" s="36"/>
      <x:c r="I23" s="36"/>
      <x:c r="J23" s="36"/>
      <x:c r="K23" s="36"/>
      <x:c r="L23" s="36"/>
      <x:c r="M23" s="36"/>
      <x:c r="N23" s="36"/>
      <x:c r="O23" s="36"/>
      <x:c r="P23" s="36"/>
      <x:c r="Q23" s="36"/>
      <x:c r="R23" s="36"/>
    </x:row>
    <x:row r="24" ht="42" customHeight="1">
      <x:c r="A24" s="36"/>
      <x:c r="B24" s="36"/>
      <x:c r="C24" s="36"/>
      <x:c r="D24" s="36"/>
      <x:c r="E24" s="36"/>
      <x:c r="F24" s="36"/>
      <x:c r="G24" s="36"/>
      <x:c r="H24" s="36"/>
      <x:c r="I24" s="36"/>
      <x:c r="J24" s="36"/>
      <x:c r="K24" s="36"/>
      <x:c r="L24" s="36"/>
      <x:c r="M24" s="36"/>
      <x:c r="N24" s="36"/>
      <x:c r="O24" s="36"/>
      <x:c r="P24" s="36"/>
      <x:c r="Q24" s="36"/>
      <x:c r="R24" s="36"/>
    </x:row>
    <x:row r="25" ht="42" customHeight="1">
      <x:c r="A25" s="36"/>
      <x:c r="B25" s="36"/>
      <x:c r="C25" s="36"/>
      <x:c r="D25" s="36"/>
      <x:c r="E25" s="36"/>
      <x:c r="F25" s="36"/>
      <x:c r="G25" s="36"/>
      <x:c r="H25" s="36"/>
      <x:c r="I25" s="36"/>
      <x:c r="J25" s="36"/>
      <x:c r="K25" s="36"/>
      <x:c r="L25" s="36"/>
      <x:c r="M25" s="36"/>
      <x:c r="N25" s="36"/>
      <x:c r="O25" s="36"/>
      <x:c r="P25" s="36"/>
      <x:c r="Q25" s="36"/>
      <x:c r="R25" s="36"/>
    </x:row>
    <x:row r="26" ht="42" customHeight="1">
      <x:c r="A26" s="36"/>
      <x:c r="B26" s="36"/>
      <x:c r="C26" s="36"/>
      <x:c r="D26" s="36"/>
      <x:c r="E26" s="36"/>
      <x:c r="F26" s="36"/>
      <x:c r="G26" s="36"/>
      <x:c r="H26" s="36"/>
      <x:c r="I26" s="36"/>
      <x:c r="J26" s="36"/>
      <x:c r="K26" s="36"/>
      <x:c r="L26" s="36"/>
      <x:c r="M26" s="36"/>
      <x:c r="N26" s="36"/>
      <x:c r="O26" s="36"/>
      <x:c r="P26" s="36"/>
      <x:c r="Q26" s="36"/>
      <x:c r="R26" s="36"/>
    </x:row>
    <x:row r="27" ht="42" customHeight="1">
      <x:c r="A27" s="36"/>
      <x:c r="B27" s="36"/>
      <x:c r="C27" s="36"/>
      <x:c r="D27" s="36"/>
      <x:c r="E27" s="36"/>
      <x:c r="F27" s="36"/>
      <x:c r="G27" s="36"/>
      <x:c r="H27" s="36"/>
      <x:c r="I27" s="36"/>
      <x:c r="J27" s="36"/>
      <x:c r="K27" s="36"/>
      <x:c r="L27" s="36"/>
      <x:c r="M27" s="36"/>
      <x:c r="N27" s="36"/>
      <x:c r="O27" s="36"/>
      <x:c r="P27" s="36"/>
      <x:c r="Q27" s="36"/>
      <x:c r="R27" s="36"/>
    </x:row>
    <x:row r="28" ht="42" customHeight="1">
      <x:c r="A28" s="36"/>
      <x:c r="B28" s="36"/>
      <x:c r="C28" s="36"/>
      <x:c r="D28" s="36"/>
      <x:c r="E28" s="36"/>
      <x:c r="F28" s="36"/>
      <x:c r="G28" s="36"/>
      <x:c r="H28" s="36"/>
      <x:c r="I28" s="36"/>
      <x:c r="J28" s="36"/>
      <x:c r="K28" s="36"/>
      <x:c r="L28" s="36"/>
      <x:c r="M28" s="36"/>
      <x:c r="N28" s="36"/>
      <x:c r="O28" s="36"/>
      <x:c r="P28" s="36"/>
      <x:c r="Q28" s="36"/>
      <x:c r="R28" s="36"/>
    </x:row>
    <x:row r="29" ht="42" customHeight="1">
      <x:c r="A29" s="36"/>
      <x:c r="B29" s="36"/>
      <x:c r="C29" s="36"/>
      <x:c r="D29" s="36"/>
      <x:c r="E29" s="36"/>
      <x:c r="F29" s="36"/>
      <x:c r="G29" s="36"/>
      <x:c r="H29" s="36"/>
      <x:c r="I29" s="36"/>
      <x:c r="J29" s="36"/>
      <x:c r="K29" s="36"/>
      <x:c r="L29" s="36"/>
      <x:c r="M29" s="36"/>
      <x:c r="N29" s="36"/>
      <x:c r="O29" s="36"/>
      <x:c r="P29" s="36"/>
      <x:c r="Q29" s="36"/>
      <x:c r="R29" s="36"/>
    </x:row>
    <x:row r="30" ht="42" customHeight="1">
      <x:c r="A30" s="36"/>
      <x:c r="B30" s="36"/>
      <x:c r="C30" s="36"/>
      <x:c r="D30" s="36"/>
      <x:c r="E30" s="36"/>
      <x:c r="F30" s="36"/>
      <x:c r="G30" s="36"/>
      <x:c r="H30" s="36"/>
      <x:c r="I30" s="36"/>
      <x:c r="J30" s="36"/>
      <x:c r="K30" s="36"/>
      <x:c r="L30" s="36"/>
      <x:c r="M30" s="36"/>
      <x:c r="N30" s="36"/>
      <x:c r="O30" s="36"/>
      <x:c r="P30" s="36"/>
      <x:c r="Q30" s="36"/>
      <x:c r="R30" s="36"/>
    </x:row>
    <x:row r="31" ht="42" customHeight="1">
      <x:c r="A31" s="36"/>
      <x:c r="B31" s="36"/>
      <x:c r="C31" s="36"/>
      <x:c r="D31" s="36"/>
      <x:c r="E31" s="36"/>
      <x:c r="F31" s="36"/>
      <x:c r="G31" s="36"/>
      <x:c r="H31" s="36"/>
      <x:c r="I31" s="36"/>
      <x:c r="J31" s="36"/>
      <x:c r="K31" s="36"/>
      <x:c r="L31" s="36"/>
      <x:c r="M31" s="36"/>
      <x:c r="N31" s="36"/>
      <x:c r="O31" s="36"/>
      <x:c r="P31" s="36"/>
      <x:c r="Q31" s="36"/>
      <x:c r="R31" s="36"/>
    </x:row>
    <x:row r="32" ht="42" customHeight="1">
      <x:c r="A32" s="36"/>
      <x:c r="B32" s="36"/>
      <x:c r="C32" s="36"/>
      <x:c r="D32" s="36"/>
      <x:c r="E32" s="36"/>
      <x:c r="F32" s="36"/>
      <x:c r="G32" s="36"/>
      <x:c r="H32" s="36"/>
      <x:c r="I32" s="36"/>
      <x:c r="J32" s="36"/>
      <x:c r="K32" s="36"/>
      <x:c r="L32" s="36"/>
      <x:c r="M32" s="36"/>
      <x:c r="N32" s="36"/>
      <x:c r="O32" s="36"/>
      <x:c r="P32" s="36"/>
      <x:c r="Q32" s="36"/>
      <x:c r="R32" s="36"/>
    </x:row>
    <x:row r="33" ht="42" customHeight="1">
      <x:c r="A33" s="36"/>
      <x:c r="B33" s="36"/>
      <x:c r="C33" s="36"/>
      <x:c r="D33" s="36"/>
      <x:c r="E33" s="36"/>
      <x:c r="F33" s="36"/>
      <x:c r="G33" s="36"/>
      <x:c r="H33" s="36"/>
      <x:c r="I33" s="36"/>
      <x:c r="J33" s="36"/>
      <x:c r="K33" s="36"/>
      <x:c r="L33" s="36"/>
      <x:c r="M33" s="36"/>
      <x:c r="N33" s="36"/>
      <x:c r="O33" s="36"/>
      <x:c r="P33" s="36"/>
      <x:c r="Q33" s="36"/>
      <x:c r="R33" s="36"/>
    </x:row>
    <x:row r="34" ht="42" customHeight="1">
      <x:c r="A34" s="36"/>
      <x:c r="B34" s="36"/>
      <x:c r="C34" s="36"/>
      <x:c r="D34" s="36"/>
      <x:c r="E34" s="36"/>
      <x:c r="F34" s="36"/>
      <x:c r="G34" s="36"/>
      <x:c r="H34" s="36"/>
      <x:c r="I34" s="36"/>
      <x:c r="J34" s="36"/>
      <x:c r="K34" s="36"/>
      <x:c r="L34" s="36"/>
      <x:c r="M34" s="36"/>
      <x:c r="N34" s="36"/>
      <x:c r="O34" s="36"/>
      <x:c r="P34" s="36"/>
      <x:c r="Q34" s="36"/>
      <x:c r="R34" s="36"/>
    </x:row>
    <x:row r="35" ht="42" customHeight="1">
      <x:c r="A35" s="36"/>
      <x:c r="B35" s="36"/>
      <x:c r="C35" s="36"/>
      <x:c r="D35" s="36"/>
      <x:c r="E35" s="36"/>
      <x:c r="F35" s="36"/>
      <x:c r="G35" s="36"/>
      <x:c r="H35" s="36"/>
      <x:c r="I35" s="36"/>
      <x:c r="J35" s="36"/>
      <x:c r="K35" s="36"/>
      <x:c r="L35" s="36"/>
      <x:c r="M35" s="36"/>
      <x:c r="N35" s="36"/>
      <x:c r="O35" s="36"/>
      <x:c r="P35" s="36"/>
      <x:c r="Q35" s="36"/>
      <x:c r="R35" s="36"/>
    </x:row>
    <x:row r="36" ht="42" customHeight="1">
      <x:c r="A36" s="36"/>
      <x:c r="B36" s="36"/>
      <x:c r="C36" s="36"/>
      <x:c r="D36" s="36"/>
      <x:c r="E36" s="36"/>
      <x:c r="F36" s="36"/>
      <x:c r="G36" s="36"/>
      <x:c r="H36" s="36"/>
      <x:c r="I36" s="36"/>
      <x:c r="J36" s="36"/>
      <x:c r="K36" s="36"/>
      <x:c r="L36" s="36"/>
      <x:c r="M36" s="36"/>
      <x:c r="N36" s="36"/>
      <x:c r="O36" s="36"/>
      <x:c r="P36" s="36"/>
      <x:c r="Q36" s="36"/>
      <x:c r="R36" s="36"/>
    </x:row>
    <x:row r="37" ht="42" customHeight="1">
      <x:c r="A37" s="36"/>
      <x:c r="B37" s="36"/>
      <x:c r="C37" s="36"/>
      <x:c r="D37" s="36"/>
      <x:c r="E37" s="36"/>
      <x:c r="F37" s="36"/>
      <x:c r="G37" s="36"/>
      <x:c r="H37" s="36"/>
      <x:c r="I37" s="36"/>
      <x:c r="J37" s="36"/>
      <x:c r="K37" s="36"/>
      <x:c r="L37" s="36"/>
      <x:c r="M37" s="36"/>
      <x:c r="N37" s="36"/>
      <x:c r="O37" s="36"/>
      <x:c r="P37" s="36"/>
      <x:c r="Q37" s="36"/>
      <x:c r="R37" s="36"/>
    </x:row>
    <x:row r="38" ht="42" customHeight="1">
      <x:c r="A38" s="36"/>
      <x:c r="B38" s="36"/>
      <x:c r="C38" s="36"/>
      <x:c r="D38" s="36"/>
      <x:c r="E38" s="36"/>
      <x:c r="F38" s="36"/>
      <x:c r="G38" s="36"/>
      <x:c r="H38" s="36"/>
      <x:c r="I38" s="36"/>
      <x:c r="J38" s="36"/>
      <x:c r="K38" s="36"/>
      <x:c r="L38" s="36"/>
      <x:c r="M38" s="36"/>
      <x:c r="N38" s="36"/>
      <x:c r="O38" s="36"/>
      <x:c r="P38" s="36"/>
      <x:c r="Q38" s="36"/>
      <x:c r="R38" s="36"/>
    </x:row>
    <x:row r="39" ht="42" customHeight="1">
      <x:c r="A39" s="36"/>
      <x:c r="B39" s="36"/>
      <x:c r="C39" s="36"/>
      <x:c r="D39" s="36"/>
      <x:c r="E39" s="36"/>
      <x:c r="F39" s="36"/>
      <x:c r="G39" s="36"/>
      <x:c r="H39" s="36"/>
      <x:c r="I39" s="36"/>
      <x:c r="J39" s="36"/>
      <x:c r="K39" s="36"/>
      <x:c r="L39" s="36"/>
      <x:c r="M39" s="36"/>
      <x:c r="N39" s="36"/>
      <x:c r="O39" s="36"/>
      <x:c r="P39" s="36"/>
      <x:c r="Q39" s="36"/>
      <x:c r="R39" s="36"/>
    </x:row>
    <x:row r="40" ht="42" customHeight="1">
      <x:c r="A40" s="36"/>
      <x:c r="B40" s="36"/>
      <x:c r="C40" s="36"/>
      <x:c r="D40" s="36"/>
      <x:c r="E40" s="36"/>
      <x:c r="F40" s="36"/>
      <x:c r="G40" s="36"/>
      <x:c r="H40" s="36"/>
      <x:c r="I40" s="36"/>
      <x:c r="J40" s="36"/>
      <x:c r="K40" s="36"/>
      <x:c r="L40" s="36"/>
      <x:c r="M40" s="36"/>
      <x:c r="N40" s="36"/>
      <x:c r="O40" s="36"/>
      <x:c r="P40" s="36"/>
      <x:c r="Q40" s="36"/>
      <x:c r="R40" s="36"/>
    </x:row>
    <x:row r="41" ht="42" customHeight="1">
      <x:c r="A41" s="36"/>
      <x:c r="B41" s="36"/>
      <x:c r="C41" s="36"/>
      <x:c r="D41" s="36"/>
      <x:c r="E41" s="36"/>
      <x:c r="F41" s="36"/>
      <x:c r="G41" s="36"/>
      <x:c r="H41" s="36"/>
      <x:c r="I41" s="36"/>
      <x:c r="J41" s="36"/>
      <x:c r="K41" s="36"/>
      <x:c r="L41" s="36"/>
      <x:c r="M41" s="36"/>
      <x:c r="N41" s="36"/>
      <x:c r="O41" s="36"/>
      <x:c r="P41" s="36"/>
      <x:c r="Q41" s="36"/>
      <x:c r="R41" s="36"/>
    </x:row>
    <x:row r="42" ht="42" customHeight="1">
      <x:c r="A42" s="36"/>
      <x:c r="B42" s="36"/>
      <x:c r="C42" s="36"/>
      <x:c r="D42" s="36"/>
      <x:c r="E42" s="36"/>
      <x:c r="F42" s="36"/>
      <x:c r="G42" s="36"/>
      <x:c r="H42" s="36"/>
      <x:c r="I42" s="36"/>
      <x:c r="J42" s="36"/>
      <x:c r="K42" s="36"/>
      <x:c r="L42" s="36"/>
      <x:c r="M42" s="36"/>
      <x:c r="N42" s="36"/>
      <x:c r="O42" s="36"/>
      <x:c r="P42" s="36"/>
      <x:c r="Q42" s="36"/>
      <x:c r="R42" s="36"/>
    </x:row>
    <x:row r="43" ht="42" customHeight="1">
      <x:c r="A43" s="36"/>
      <x:c r="B43" s="36"/>
      <x:c r="C43" s="36"/>
      <x:c r="D43" s="36"/>
      <x:c r="E43" s="36"/>
      <x:c r="F43" s="36"/>
      <x:c r="G43" s="36"/>
      <x:c r="H43" s="36"/>
      <x:c r="I43" s="36"/>
      <x:c r="J43" s="36"/>
      <x:c r="K43" s="36"/>
      <x:c r="L43" s="36"/>
      <x:c r="M43" s="36"/>
      <x:c r="N43" s="36"/>
      <x:c r="O43" s="36"/>
      <x:c r="P43" s="36"/>
      <x:c r="Q43" s="36"/>
      <x:c r="R43" s="36"/>
    </x:row>
    <x:row r="44" ht="42" customHeight="1">
      <x:c r="A44" s="36"/>
      <x:c r="B44" s="36"/>
      <x:c r="C44" s="36"/>
      <x:c r="D44" s="36"/>
      <x:c r="E44" s="36"/>
      <x:c r="F44" s="36"/>
      <x:c r="G44" s="36"/>
      <x:c r="H44" s="36"/>
      <x:c r="I44" s="36"/>
      <x:c r="J44" s="36"/>
      <x:c r="K44" s="36"/>
      <x:c r="L44" s="36"/>
      <x:c r="M44" s="36"/>
      <x:c r="N44" s="36"/>
      <x:c r="O44" s="36"/>
      <x:c r="P44" s="36"/>
      <x:c r="Q44" s="36"/>
      <x:c r="R44" s="36"/>
    </x:row>
    <x:row r="45" ht="42" customHeight="1">
      <x:c r="A45" s="36"/>
      <x:c r="B45" s="36"/>
      <x:c r="C45" s="36"/>
      <x:c r="D45" s="36"/>
      <x:c r="E45" s="36"/>
      <x:c r="F45" s="36"/>
      <x:c r="G45" s="36"/>
      <x:c r="H45" s="36"/>
      <x:c r="I45" s="36"/>
      <x:c r="J45" s="36"/>
      <x:c r="K45" s="36"/>
      <x:c r="L45" s="36"/>
      <x:c r="M45" s="36"/>
      <x:c r="N45" s="36"/>
      <x:c r="O45" s="36"/>
      <x:c r="P45" s="36"/>
      <x:c r="Q45" s="36"/>
      <x:c r="R45" s="36"/>
    </x:row>
    <x:row r="46" ht="42" customHeight="1">
      <x:c r="A46" s="36"/>
      <x:c r="B46" s="36"/>
      <x:c r="C46" s="36"/>
      <x:c r="D46" s="36"/>
      <x:c r="E46" s="36"/>
      <x:c r="F46" s="36"/>
      <x:c r="G46" s="36"/>
      <x:c r="H46" s="36"/>
      <x:c r="I46" s="36"/>
      <x:c r="J46" s="36"/>
      <x:c r="K46" s="36"/>
      <x:c r="L46" s="36"/>
      <x:c r="M46" s="36"/>
      <x:c r="N46" s="36"/>
      <x:c r="O46" s="36"/>
      <x:c r="P46" s="36"/>
      <x:c r="Q46" s="36"/>
      <x:c r="R46" s="36"/>
    </x:row>
    <x:row r="47" ht="42" customHeight="1">
      <x:c r="A47" s="36"/>
      <x:c r="B47" s="36"/>
      <x:c r="C47" s="36"/>
      <x:c r="D47" s="36"/>
      <x:c r="E47" s="36"/>
      <x:c r="F47" s="36"/>
      <x:c r="G47" s="36"/>
      <x:c r="H47" s="36"/>
      <x:c r="I47" s="36"/>
      <x:c r="J47" s="36"/>
      <x:c r="K47" s="36"/>
      <x:c r="L47" s="36"/>
      <x:c r="M47" s="36"/>
      <x:c r="N47" s="36"/>
      <x:c r="O47" s="36"/>
      <x:c r="P47" s="36"/>
      <x:c r="Q47" s="36"/>
      <x:c r="R47" s="36"/>
    </x:row>
    <x:row r="48" ht="42" customHeight="1">
      <x:c r="A48" s="36"/>
      <x:c r="B48" s="36"/>
      <x:c r="C48" s="36"/>
      <x:c r="D48" s="36"/>
      <x:c r="E48" s="36"/>
      <x:c r="F48" s="36"/>
      <x:c r="G48" s="36"/>
      <x:c r="H48" s="36"/>
      <x:c r="I48" s="36"/>
      <x:c r="J48" s="36"/>
      <x:c r="K48" s="36"/>
      <x:c r="L48" s="36"/>
      <x:c r="M48" s="36"/>
      <x:c r="N48" s="36"/>
      <x:c r="O48" s="36"/>
      <x:c r="P48" s="36"/>
      <x:c r="Q48" s="36"/>
      <x:c r="R48" s="36"/>
    </x:row>
    <x:row r="49" ht="42" customHeight="1">
      <x:c r="A49" s="36"/>
      <x:c r="B49" s="36"/>
      <x:c r="C49" s="36"/>
      <x:c r="D49" s="36"/>
      <x:c r="E49" s="36"/>
      <x:c r="F49" s="36"/>
      <x:c r="G49" s="36"/>
      <x:c r="H49" s="36"/>
      <x:c r="I49" s="36"/>
      <x:c r="J49" s="36"/>
      <x:c r="K49" s="36"/>
      <x:c r="L49" s="36"/>
      <x:c r="M49" s="36"/>
      <x:c r="N49" s="36"/>
      <x:c r="O49" s="36"/>
      <x:c r="P49" s="36"/>
      <x:c r="Q49" s="36"/>
      <x:c r="R49" s="36"/>
    </x:row>
    <x:row r="50" ht="42" customHeight="1">
      <x:c r="A50" s="36"/>
      <x:c r="B50" s="36"/>
      <x:c r="C50" s="36"/>
      <x:c r="D50" s="36"/>
      <x:c r="E50" s="36"/>
      <x:c r="F50" s="36"/>
      <x:c r="G50" s="36"/>
      <x:c r="H50" s="36"/>
      <x:c r="I50" s="36"/>
      <x:c r="J50" s="36"/>
      <x:c r="K50" s="36"/>
      <x:c r="L50" s="36"/>
      <x:c r="M50" s="36"/>
      <x:c r="N50" s="36"/>
      <x:c r="O50" s="36"/>
      <x:c r="P50" s="36"/>
      <x:c r="Q50" s="36"/>
      <x:c r="R50" s="36"/>
    </x:row>
    <x:row r="51" ht="42" customHeight="1">
      <x:c r="A51" s="36"/>
      <x:c r="B51" s="36"/>
      <x:c r="C51" s="36"/>
      <x:c r="D51" s="36"/>
      <x:c r="E51" s="36"/>
      <x:c r="F51" s="36"/>
      <x:c r="G51" s="36"/>
      <x:c r="H51" s="36"/>
      <x:c r="I51" s="36"/>
      <x:c r="J51" s="36"/>
      <x:c r="K51" s="36"/>
      <x:c r="L51" s="36"/>
      <x:c r="M51" s="36"/>
      <x:c r="N51" s="36"/>
      <x:c r="O51" s="36"/>
      <x:c r="P51" s="36"/>
      <x:c r="Q51" s="36"/>
      <x:c r="R51" s="36"/>
    </x:row>
    <x:row r="52" ht="42" customHeight="1">
      <x:c r="A52" s="36"/>
      <x:c r="B52" s="36"/>
      <x:c r="C52" s="36"/>
      <x:c r="D52" s="36"/>
      <x:c r="E52" s="36"/>
      <x:c r="F52" s="36"/>
      <x:c r="G52" s="36"/>
      <x:c r="H52" s="36"/>
      <x:c r="I52" s="36"/>
      <x:c r="J52" s="36"/>
      <x:c r="K52" s="36"/>
      <x:c r="L52" s="36"/>
      <x:c r="M52" s="36"/>
      <x:c r="N52" s="36"/>
      <x:c r="O52" s="36"/>
      <x:c r="P52" s="36"/>
      <x:c r="Q52" s="36"/>
      <x:c r="R52" s="36"/>
    </x:row>
    <x:row r="53" ht="42" customHeight="1">
      <x:c r="A53" s="36"/>
      <x:c r="B53" s="36"/>
      <x:c r="C53" s="36"/>
      <x:c r="D53" s="36"/>
      <x:c r="E53" s="36"/>
      <x:c r="F53" s="36"/>
      <x:c r="G53" s="36"/>
      <x:c r="H53" s="36"/>
      <x:c r="I53" s="36"/>
      <x:c r="J53" s="36"/>
      <x:c r="K53" s="36"/>
      <x:c r="L53" s="36"/>
      <x:c r="M53" s="36"/>
      <x:c r="N53" s="36"/>
      <x:c r="O53" s="36"/>
      <x:c r="P53" s="36"/>
      <x:c r="Q53" s="36"/>
      <x:c r="R53" s="36"/>
    </x:row>
    <x:row r="54" ht="42" customHeight="1">
      <x:c r="A54" s="36"/>
      <x:c r="B54" s="36"/>
      <x:c r="C54" s="36"/>
      <x:c r="D54" s="36"/>
      <x:c r="E54" s="36"/>
      <x:c r="F54" s="36"/>
      <x:c r="G54" s="36"/>
      <x:c r="H54" s="36"/>
      <x:c r="I54" s="36"/>
      <x:c r="J54" s="36"/>
      <x:c r="K54" s="36"/>
      <x:c r="L54" s="36"/>
      <x:c r="M54" s="36"/>
      <x:c r="N54" s="36"/>
      <x:c r="O54" s="36"/>
      <x:c r="P54" s="36"/>
      <x:c r="Q54" s="36"/>
      <x:c r="R54" s="36"/>
    </x:row>
    <x:row r="55" ht="42" customHeight="1">
      <x:c r="A55" s="36"/>
      <x:c r="B55" s="36"/>
      <x:c r="C55" s="36"/>
      <x:c r="D55" s="36"/>
      <x:c r="E55" s="36"/>
      <x:c r="F55" s="36"/>
      <x:c r="G55" s="36"/>
      <x:c r="H55" s="36"/>
      <x:c r="I55" s="36"/>
      <x:c r="J55" s="36"/>
      <x:c r="K55" s="36"/>
      <x:c r="L55" s="36"/>
      <x:c r="M55" s="36"/>
      <x:c r="N55" s="36"/>
      <x:c r="O55" s="36"/>
      <x:c r="P55" s="36"/>
      <x:c r="Q55" s="36"/>
      <x:c r="R55" s="36"/>
    </x:row>
    <x:row r="56" ht="42" customHeight="1">
      <x:c r="A56" s="36"/>
      <x:c r="B56" s="36"/>
      <x:c r="C56" s="36"/>
      <x:c r="D56" s="36"/>
      <x:c r="E56" s="36"/>
      <x:c r="F56" s="36"/>
      <x:c r="G56" s="36"/>
      <x:c r="H56" s="36"/>
      <x:c r="I56" s="36"/>
      <x:c r="J56" s="36"/>
      <x:c r="K56" s="36"/>
      <x:c r="L56" s="36"/>
      <x:c r="M56" s="36"/>
      <x:c r="N56" s="36"/>
      <x:c r="O56" s="36"/>
      <x:c r="P56" s="36"/>
      <x:c r="Q56" s="36"/>
      <x:c r="R56" s="36"/>
    </x:row>
    <x:row r="57" ht="42" customHeight="1">
      <x:c r="A57" s="36"/>
      <x:c r="B57" s="36"/>
      <x:c r="C57" s="36"/>
      <x:c r="D57" s="36"/>
      <x:c r="E57" s="36"/>
      <x:c r="F57" s="36"/>
      <x:c r="G57" s="36"/>
      <x:c r="H57" s="36"/>
      <x:c r="I57" s="36"/>
      <x:c r="J57" s="36"/>
      <x:c r="K57" s="36"/>
      <x:c r="L57" s="36"/>
      <x:c r="M57" s="36"/>
      <x:c r="N57" s="36"/>
      <x:c r="O57" s="36"/>
      <x:c r="P57" s="36"/>
      <x:c r="Q57" s="36"/>
      <x:c r="R57" s="36"/>
    </x:row>
    <x:row r="58" ht="42" customHeight="1">
      <x:c r="A58" s="36"/>
      <x:c r="B58" s="36"/>
      <x:c r="C58" s="36"/>
      <x:c r="D58" s="36"/>
      <x:c r="E58" s="36"/>
      <x:c r="F58" s="36"/>
      <x:c r="G58" s="36"/>
      <x:c r="H58" s="36"/>
      <x:c r="I58" s="36"/>
      <x:c r="J58" s="36"/>
      <x:c r="K58" s="36"/>
      <x:c r="L58" s="36"/>
      <x:c r="M58" s="36"/>
      <x:c r="N58" s="36"/>
      <x:c r="O58" s="36"/>
      <x:c r="P58" s="36"/>
      <x:c r="Q58" s="36"/>
      <x:c r="R58" s="36"/>
    </x:row>
    <x:row r="59" ht="42" customHeight="1">
      <x:c r="A59" s="36"/>
      <x:c r="B59" s="36"/>
      <x:c r="C59" s="36"/>
      <x:c r="D59" s="36"/>
      <x:c r="E59" s="36"/>
      <x:c r="F59" s="36"/>
      <x:c r="G59" s="36"/>
      <x:c r="H59" s="36"/>
      <x:c r="I59" s="36"/>
      <x:c r="J59" s="36"/>
      <x:c r="K59" s="36"/>
      <x:c r="L59" s="36"/>
      <x:c r="M59" s="36"/>
      <x:c r="N59" s="36"/>
      <x:c r="O59" s="36"/>
      <x:c r="P59" s="36"/>
      <x:c r="Q59" s="36"/>
      <x:c r="R59" s="36"/>
    </x:row>
    <x:row r="60" ht="42" customHeight="1">
      <x:c r="A60" s="36"/>
      <x:c r="B60" s="36"/>
      <x:c r="C60" s="36"/>
      <x:c r="D60" s="36"/>
      <x:c r="E60" s="36"/>
      <x:c r="F60" s="36"/>
      <x:c r="G60" s="36"/>
      <x:c r="H60" s="36"/>
      <x:c r="I60" s="36"/>
      <x:c r="J60" s="36"/>
      <x:c r="K60" s="36"/>
      <x:c r="L60" s="36"/>
      <x:c r="M60" s="36"/>
      <x:c r="N60" s="36"/>
      <x:c r="O60" s="36"/>
      <x:c r="P60" s="36"/>
      <x:c r="Q60" s="36"/>
      <x:c r="R60" s="36"/>
    </x:row>
    <x:row r="61" ht="42" customHeight="1">
      <x:c r="A61" s="36"/>
      <x:c r="B61" s="36"/>
      <x:c r="C61" s="36"/>
      <x:c r="D61" s="36"/>
      <x:c r="E61" s="36"/>
      <x:c r="F61" s="36"/>
      <x:c r="G61" s="36"/>
      <x:c r="H61" s="36"/>
      <x:c r="I61" s="36"/>
      <x:c r="J61" s="36"/>
      <x:c r="K61" s="36"/>
      <x:c r="L61" s="36"/>
      <x:c r="M61" s="36"/>
      <x:c r="N61" s="36"/>
      <x:c r="O61" s="36"/>
      <x:c r="P61" s="36"/>
      <x:c r="Q61" s="36"/>
      <x:c r="R61" s="36"/>
    </x:row>
    <x:row r="62" ht="42" customHeight="1">
      <x:c r="A62" s="36"/>
      <x:c r="B62" s="36"/>
      <x:c r="C62" s="36"/>
      <x:c r="D62" s="36"/>
      <x:c r="E62" s="36"/>
      <x:c r="F62" s="36"/>
      <x:c r="G62" s="36"/>
      <x:c r="H62" s="36"/>
      <x:c r="I62" s="36"/>
      <x:c r="J62" s="36"/>
      <x:c r="K62" s="36"/>
      <x:c r="L62" s="36"/>
      <x:c r="M62" s="36"/>
      <x:c r="N62" s="36"/>
      <x:c r="O62" s="36"/>
      <x:c r="P62" s="36"/>
      <x:c r="Q62" s="36"/>
      <x:c r="R62" s="36"/>
    </x:row>
    <x:row r="63" ht="42" customHeight="1">
      <x:c r="A63" s="36"/>
      <x:c r="B63" s="36"/>
      <x:c r="C63" s="36"/>
      <x:c r="D63" s="36"/>
      <x:c r="E63" s="36"/>
      <x:c r="F63" s="36"/>
      <x:c r="G63" s="36"/>
      <x:c r="H63" s="36"/>
      <x:c r="I63" s="36"/>
      <x:c r="J63" s="36"/>
      <x:c r="K63" s="36"/>
      <x:c r="L63" s="36"/>
      <x:c r="M63" s="36"/>
      <x:c r="N63" s="36"/>
      <x:c r="O63" s="36"/>
      <x:c r="P63" s="36"/>
      <x:c r="Q63" s="36"/>
      <x:c r="R63" s="36"/>
    </x:row>
    <x:row r="64" ht="42" customHeight="1">
      <x:c r="A64" s="36"/>
      <x:c r="B64" s="36"/>
      <x:c r="C64" s="36"/>
      <x:c r="D64" s="36"/>
      <x:c r="E64" s="36"/>
      <x:c r="F64" s="36"/>
      <x:c r="G64" s="36"/>
      <x:c r="H64" s="36"/>
      <x:c r="I64" s="36"/>
      <x:c r="J64" s="36"/>
      <x:c r="K64" s="36"/>
      <x:c r="L64" s="36"/>
      <x:c r="M64" s="36"/>
      <x:c r="N64" s="36"/>
      <x:c r="O64" s="36"/>
      <x:c r="P64" s="36"/>
      <x:c r="Q64" s="36"/>
      <x:c r="R64" s="36"/>
    </x:row>
    <x:row r="65" ht="42" customHeight="1">
      <x:c r="A65" s="36"/>
      <x:c r="B65" s="36"/>
      <x:c r="C65" s="36"/>
      <x:c r="D65" s="36"/>
      <x:c r="E65" s="36"/>
      <x:c r="F65" s="36"/>
      <x:c r="G65" s="36"/>
      <x:c r="H65" s="36"/>
      <x:c r="I65" s="36"/>
      <x:c r="J65" s="36"/>
      <x:c r="K65" s="36"/>
      <x:c r="L65" s="36"/>
      <x:c r="M65" s="36"/>
      <x:c r="N65" s="36"/>
      <x:c r="O65" s="36"/>
      <x:c r="P65" s="36"/>
      <x:c r="Q65" s="36"/>
      <x:c r="R65" s="36"/>
    </x:row>
    <x:row r="66" ht="42" customHeight="1">
      <x:c r="A66" s="36"/>
      <x:c r="B66" s="36"/>
      <x:c r="C66" s="36"/>
      <x:c r="D66" s="36"/>
      <x:c r="E66" s="36"/>
      <x:c r="F66" s="36"/>
      <x:c r="G66" s="36"/>
      <x:c r="H66" s="36"/>
      <x:c r="I66" s="36"/>
      <x:c r="J66" s="36"/>
      <x:c r="K66" s="36"/>
      <x:c r="L66" s="36"/>
      <x:c r="M66" s="36"/>
      <x:c r="N66" s="36"/>
      <x:c r="O66" s="36"/>
      <x:c r="P66" s="36"/>
      <x:c r="Q66" s="36"/>
      <x:c r="R66" s="36"/>
    </x:row>
    <x:row r="67" ht="42" customHeight="1">
      <x:c r="A67" s="36"/>
      <x:c r="B67" s="36"/>
      <x:c r="C67" s="36"/>
      <x:c r="D67" s="36"/>
      <x:c r="E67" s="36"/>
      <x:c r="F67" s="36"/>
      <x:c r="G67" s="36"/>
      <x:c r="H67" s="36"/>
      <x:c r="I67" s="36"/>
      <x:c r="J67" s="36"/>
      <x:c r="K67" s="36"/>
      <x:c r="L67" s="36"/>
      <x:c r="M67" s="36"/>
      <x:c r="N67" s="36"/>
      <x:c r="O67" s="36"/>
      <x:c r="P67" s="36"/>
      <x:c r="Q67" s="36"/>
      <x:c r="R67" s="36"/>
    </x:row>
    <x:row r="68" ht="42" customHeight="1">
      <x:c r="A68" s="36"/>
      <x:c r="B68" s="36"/>
      <x:c r="C68" s="36"/>
      <x:c r="D68" s="36"/>
      <x:c r="E68" s="36"/>
      <x:c r="F68" s="36"/>
      <x:c r="G68" s="36"/>
      <x:c r="H68" s="36"/>
      <x:c r="I68" s="36"/>
      <x:c r="J68" s="36"/>
      <x:c r="K68" s="36"/>
      <x:c r="L68" s="36"/>
      <x:c r="M68" s="36"/>
      <x:c r="N68" s="36"/>
      <x:c r="O68" s="36"/>
      <x:c r="P68" s="36"/>
      <x:c r="Q68" s="36"/>
      <x:c r="R68" s="36"/>
    </x:row>
    <x:row r="69" ht="42" customHeight="1">
      <x:c r="A69" s="36"/>
      <x:c r="B69" s="36"/>
      <x:c r="C69" s="36"/>
      <x:c r="D69" s="36"/>
      <x:c r="E69" s="36"/>
      <x:c r="F69" s="36"/>
      <x:c r="G69" s="36"/>
      <x:c r="H69" s="36"/>
      <x:c r="I69" s="36"/>
      <x:c r="J69" s="36"/>
      <x:c r="K69" s="36"/>
      <x:c r="L69" s="36"/>
      <x:c r="M69" s="36"/>
      <x:c r="N69" s="36"/>
      <x:c r="O69" s="36"/>
      <x:c r="P69" s="36"/>
      <x:c r="Q69" s="36"/>
      <x:c r="R69" s="36"/>
    </x:row>
    <x:row r="70" ht="42" customHeight="1">
      <x:c r="A70" s="36"/>
      <x:c r="B70" s="36"/>
      <x:c r="C70" s="36"/>
      <x:c r="D70" s="36"/>
      <x:c r="E70" s="36"/>
      <x:c r="F70" s="36"/>
      <x:c r="G70" s="36"/>
      <x:c r="H70" s="36"/>
      <x:c r="I70" s="36"/>
      <x:c r="J70" s="36"/>
      <x:c r="K70" s="36"/>
      <x:c r="L70" s="36"/>
      <x:c r="M70" s="36"/>
      <x:c r="N70" s="36"/>
      <x:c r="O70" s="36"/>
      <x:c r="P70" s="36"/>
      <x:c r="Q70" s="36"/>
      <x:c r="R70" s="36"/>
    </x:row>
    <x:row r="71" ht="42" customHeight="1">
      <x:c r="A71" s="36"/>
      <x:c r="B71" s="36"/>
      <x:c r="C71" s="36"/>
      <x:c r="D71" s="36"/>
      <x:c r="E71" s="36"/>
      <x:c r="F71" s="36"/>
      <x:c r="G71" s="36"/>
      <x:c r="H71" s="36"/>
      <x:c r="I71" s="36"/>
      <x:c r="J71" s="36"/>
      <x:c r="K71" s="36"/>
      <x:c r="L71" s="36"/>
      <x:c r="M71" s="36"/>
      <x:c r="N71" s="36"/>
      <x:c r="O71" s="36"/>
      <x:c r="P71" s="36"/>
      <x:c r="Q71" s="36"/>
      <x:c r="R71" s="36"/>
    </x:row>
    <x:row r="72" ht="42" customHeight="1">
      <x:c r="A72" s="36"/>
      <x:c r="B72" s="36"/>
      <x:c r="C72" s="36"/>
      <x:c r="D72" s="36"/>
      <x:c r="E72" s="36"/>
      <x:c r="F72" s="36"/>
      <x:c r="G72" s="36"/>
      <x:c r="H72" s="36"/>
      <x:c r="I72" s="36"/>
      <x:c r="J72" s="36"/>
      <x:c r="K72" s="36"/>
      <x:c r="L72" s="36"/>
      <x:c r="M72" s="36"/>
      <x:c r="N72" s="36"/>
      <x:c r="O72" s="36"/>
      <x:c r="P72" s="36"/>
      <x:c r="Q72" s="36"/>
      <x:c r="R72" s="36"/>
    </x:row>
    <x:row r="73" ht="42" customHeight="1">
      <x:c r="A73" s="36"/>
      <x:c r="B73" s="36"/>
      <x:c r="C73" s="36"/>
      <x:c r="D73" s="36"/>
      <x:c r="E73" s="36"/>
      <x:c r="F73" s="36"/>
      <x:c r="G73" s="36"/>
      <x:c r="H73" s="36"/>
      <x:c r="I73" s="36"/>
      <x:c r="J73" s="36"/>
      <x:c r="K73" s="36"/>
      <x:c r="L73" s="36"/>
      <x:c r="M73" s="36"/>
      <x:c r="N73" s="36"/>
      <x:c r="O73" s="36"/>
      <x:c r="P73" s="36"/>
      <x:c r="Q73" s="36"/>
      <x:c r="R73" s="36"/>
    </x:row>
    <x:row r="74" ht="42" customHeight="1">
      <x:c r="A74" s="36"/>
      <x:c r="B74" s="36"/>
      <x:c r="C74" s="36"/>
      <x:c r="D74" s="36"/>
      <x:c r="E74" s="36"/>
      <x:c r="F74" s="36"/>
      <x:c r="G74" s="36"/>
      <x:c r="H74" s="36"/>
      <x:c r="I74" s="36"/>
      <x:c r="J74" s="36"/>
      <x:c r="K74" s="36"/>
      <x:c r="L74" s="36"/>
      <x:c r="M74" s="36"/>
      <x:c r="N74" s="36"/>
      <x:c r="O74" s="36"/>
      <x:c r="P74" s="36"/>
      <x:c r="Q74" s="36"/>
      <x:c r="R74" s="36"/>
    </x:row>
    <x:row r="75" ht="42" customHeight="1">
      <x:c r="A75" s="36"/>
      <x:c r="B75" s="36"/>
      <x:c r="C75" s="36"/>
      <x:c r="D75" s="36"/>
      <x:c r="E75" s="36"/>
      <x:c r="F75" s="36"/>
      <x:c r="G75" s="36"/>
      <x:c r="H75" s="36"/>
      <x:c r="I75" s="36"/>
      <x:c r="J75" s="36"/>
      <x:c r="K75" s="36"/>
      <x:c r="L75" s="36"/>
      <x:c r="M75" s="36"/>
      <x:c r="N75" s="36"/>
      <x:c r="O75" s="36"/>
      <x:c r="P75" s="36"/>
      <x:c r="Q75" s="36"/>
      <x:c r="R75" s="36"/>
    </x:row>
    <x:row r="76" ht="42" customHeight="1">
      <x:c r="A76" s="36"/>
      <x:c r="B76" s="36"/>
      <x:c r="C76" s="36"/>
      <x:c r="D76" s="36"/>
      <x:c r="E76" s="36"/>
      <x:c r="F76" s="36"/>
      <x:c r="G76" s="36"/>
      <x:c r="H76" s="36"/>
      <x:c r="I76" s="36"/>
      <x:c r="J76" s="36"/>
      <x:c r="K76" s="36"/>
      <x:c r="L76" s="36"/>
      <x:c r="M76" s="36"/>
      <x:c r="N76" s="36"/>
      <x:c r="O76" s="36"/>
      <x:c r="P76" s="36"/>
      <x:c r="Q76" s="36"/>
      <x:c r="R76" s="36"/>
    </x:row>
    <x:row r="77" ht="42" customHeight="1">
      <x:c r="A77" s="36"/>
      <x:c r="B77" s="36"/>
      <x:c r="C77" s="36"/>
      <x:c r="D77" s="36"/>
      <x:c r="E77" s="36"/>
      <x:c r="F77" s="36"/>
      <x:c r="G77" s="36"/>
      <x:c r="H77" s="36"/>
      <x:c r="I77" s="36"/>
      <x:c r="J77" s="36"/>
      <x:c r="K77" s="36"/>
      <x:c r="L77" s="36"/>
      <x:c r="M77" s="36"/>
      <x:c r="N77" s="36"/>
      <x:c r="O77" s="36"/>
      <x:c r="P77" s="36"/>
      <x:c r="Q77" s="36"/>
      <x:c r="R77" s="36"/>
    </x:row>
    <x:row r="78" ht="42" customHeight="1">
      <x:c r="A78" s="36"/>
      <x:c r="B78" s="36"/>
      <x:c r="C78" s="36"/>
      <x:c r="D78" s="36"/>
      <x:c r="E78" s="36"/>
      <x:c r="F78" s="36"/>
      <x:c r="G78" s="36"/>
      <x:c r="H78" s="36"/>
      <x:c r="I78" s="36"/>
      <x:c r="J78" s="36"/>
      <x:c r="K78" s="36"/>
      <x:c r="L78" s="36"/>
      <x:c r="M78" s="36"/>
      <x:c r="N78" s="36"/>
      <x:c r="O78" s="36"/>
      <x:c r="P78" s="36"/>
      <x:c r="Q78" s="36"/>
      <x:c r="R78" s="36"/>
    </x:row>
    <x:row r="79" ht="42" customHeight="1">
      <x:c r="A79" s="36"/>
      <x:c r="B79" s="36"/>
      <x:c r="C79" s="36"/>
      <x:c r="D79" s="36"/>
      <x:c r="E79" s="36"/>
      <x:c r="F79" s="36"/>
      <x:c r="G79" s="36"/>
      <x:c r="H79" s="36"/>
      <x:c r="I79" s="36"/>
      <x:c r="J79" s="36"/>
      <x:c r="K79" s="36"/>
      <x:c r="L79" s="36"/>
      <x:c r="M79" s="36"/>
      <x:c r="N79" s="36"/>
      <x:c r="O79" s="36"/>
      <x:c r="P79" s="36"/>
      <x:c r="Q79" s="36"/>
      <x:c r="R79" s="36"/>
    </x:row>
    <x:row r="80" ht="42" customHeight="1">
      <x:c r="A80" s="36"/>
      <x:c r="B80" s="36"/>
      <x:c r="C80" s="36"/>
      <x:c r="D80" s="36"/>
      <x:c r="E80" s="36"/>
      <x:c r="F80" s="36"/>
      <x:c r="G80" s="36"/>
      <x:c r="H80" s="36"/>
      <x:c r="I80" s="36"/>
      <x:c r="J80" s="36"/>
      <x:c r="K80" s="36"/>
      <x:c r="L80" s="36"/>
      <x:c r="M80" s="36"/>
      <x:c r="N80" s="36"/>
      <x:c r="O80" s="36"/>
      <x:c r="P80" s="36"/>
      <x:c r="Q80" s="36"/>
      <x:c r="R80" s="36"/>
    </x:row>
    <x:row r="81" ht="42" customHeight="1">
      <x:c r="A81" s="36"/>
      <x:c r="B81" s="36"/>
      <x:c r="C81" s="36"/>
      <x:c r="D81" s="36"/>
      <x:c r="E81" s="36"/>
      <x:c r="F81" s="36"/>
      <x:c r="G81" s="36"/>
      <x:c r="H81" s="36"/>
      <x:c r="I81" s="36"/>
      <x:c r="J81" s="36"/>
      <x:c r="K81" s="36"/>
      <x:c r="L81" s="36"/>
      <x:c r="M81" s="36"/>
      <x:c r="N81" s="36"/>
      <x:c r="O81" s="36"/>
      <x:c r="P81" s="36"/>
      <x:c r="Q81" s="36"/>
      <x:c r="R81" s="36"/>
    </x:row>
    <x:row r="82" ht="42" customHeight="1">
      <x:c r="A82" s="36"/>
      <x:c r="B82" s="36"/>
      <x:c r="C82" s="36"/>
      <x:c r="D82" s="36"/>
      <x:c r="E82" s="36"/>
      <x:c r="F82" s="36"/>
      <x:c r="G82" s="36"/>
      <x:c r="H82" s="36"/>
      <x:c r="I82" s="36"/>
      <x:c r="J82" s="36"/>
      <x:c r="K82" s="36"/>
      <x:c r="L82" s="36"/>
      <x:c r="M82" s="36"/>
      <x:c r="N82" s="36"/>
      <x:c r="O82" s="36"/>
      <x:c r="P82" s="36"/>
      <x:c r="Q82" s="36"/>
      <x:c r="R82" s="36"/>
    </x:row>
    <x:row r="83" ht="42" customHeight="1">
      <x:c r="A83" s="36"/>
      <x:c r="B83" s="36"/>
      <x:c r="C83" s="36"/>
      <x:c r="D83" s="36"/>
      <x:c r="E83" s="36"/>
      <x:c r="F83" s="36"/>
      <x:c r="G83" s="36"/>
      <x:c r="H83" s="36"/>
      <x:c r="I83" s="36"/>
      <x:c r="J83" s="36"/>
      <x:c r="K83" s="36"/>
      <x:c r="L83" s="36"/>
      <x:c r="M83" s="36"/>
      <x:c r="N83" s="36"/>
      <x:c r="O83" s="36"/>
      <x:c r="P83" s="36"/>
      <x:c r="Q83" s="36"/>
      <x:c r="R83" s="36"/>
    </x:row>
    <x:row r="84" ht="42" customHeight="1">
      <x:c r="A84" s="36"/>
      <x:c r="B84" s="36"/>
      <x:c r="C84" s="36"/>
      <x:c r="D84" s="36"/>
      <x:c r="E84" s="36"/>
      <x:c r="F84" s="36"/>
      <x:c r="G84" s="36"/>
      <x:c r="H84" s="36"/>
      <x:c r="I84" s="36"/>
      <x:c r="J84" s="36"/>
      <x:c r="K84" s="36"/>
      <x:c r="L84" s="36"/>
      <x:c r="M84" s="36"/>
      <x:c r="N84" s="36"/>
      <x:c r="O84" s="36"/>
      <x:c r="P84" s="36"/>
      <x:c r="Q84" s="36"/>
      <x:c r="R84" s="36"/>
    </x:row>
    <x:row r="85" ht="42" customHeight="1">
      <x:c r="A85" s="36"/>
      <x:c r="B85" s="36"/>
      <x:c r="C85" s="36"/>
      <x:c r="D85" s="36"/>
      <x:c r="E85" s="36"/>
      <x:c r="F85" s="36"/>
      <x:c r="G85" s="36"/>
      <x:c r="H85" s="36"/>
      <x:c r="I85" s="36"/>
      <x:c r="J85" s="36"/>
      <x:c r="K85" s="36"/>
      <x:c r="L85" s="36"/>
      <x:c r="M85" s="36"/>
      <x:c r="N85" s="36"/>
      <x:c r="O85" s="36"/>
      <x:c r="P85" s="36"/>
      <x:c r="Q85" s="36"/>
      <x:c r="R85" s="36"/>
    </x:row>
    <x:row r="86" ht="42" customHeight="1">
      <x:c r="A86" s="36"/>
      <x:c r="B86" s="36"/>
      <x:c r="C86" s="36"/>
      <x:c r="D86" s="36"/>
      <x:c r="E86" s="36"/>
      <x:c r="F86" s="36"/>
      <x:c r="G86" s="36"/>
      <x:c r="H86" s="36"/>
      <x:c r="I86" s="36"/>
      <x:c r="J86" s="36"/>
      <x:c r="K86" s="36"/>
      <x:c r="L86" s="36"/>
      <x:c r="M86" s="36"/>
      <x:c r="N86" s="36"/>
      <x:c r="O86" s="36"/>
      <x:c r="P86" s="36"/>
      <x:c r="Q86" s="36"/>
      <x:c r="R86" s="36"/>
    </x:row>
    <x:row r="87" ht="42" customHeight="1">
      <x:c r="A87" s="36"/>
      <x:c r="B87" s="36"/>
      <x:c r="C87" s="36"/>
      <x:c r="D87" s="36"/>
      <x:c r="E87" s="36"/>
      <x:c r="F87" s="36"/>
      <x:c r="G87" s="36"/>
      <x:c r="H87" s="36"/>
      <x:c r="I87" s="36"/>
      <x:c r="J87" s="36"/>
      <x:c r="K87" s="36"/>
      <x:c r="L87" s="36"/>
      <x:c r="M87" s="36"/>
      <x:c r="N87" s="36"/>
      <x:c r="O87" s="36"/>
      <x:c r="P87" s="36"/>
      <x:c r="Q87" s="36"/>
      <x:c r="R87" s="36"/>
    </x:row>
    <x:row r="88" ht="42" customHeight="1">
      <x:c r="A88" s="36"/>
      <x:c r="B88" s="36"/>
      <x:c r="C88" s="36"/>
      <x:c r="D88" s="36"/>
      <x:c r="E88" s="36"/>
      <x:c r="F88" s="36"/>
      <x:c r="G88" s="36"/>
      <x:c r="H88" s="36"/>
      <x:c r="I88" s="36"/>
      <x:c r="J88" s="36"/>
      <x:c r="K88" s="36"/>
      <x:c r="L88" s="36"/>
      <x:c r="M88" s="36"/>
      <x:c r="N88" s="36"/>
      <x:c r="O88" s="36"/>
      <x:c r="P88" s="36"/>
      <x:c r="Q88" s="36"/>
      <x:c r="R88" s="36"/>
    </x:row>
    <x:row r="89" ht="42" customHeight="1">
      <x:c r="A89" s="36"/>
      <x:c r="B89" s="36"/>
      <x:c r="C89" s="36"/>
      <x:c r="D89" s="36"/>
      <x:c r="E89" s="36"/>
      <x:c r="F89" s="36"/>
      <x:c r="G89" s="36"/>
      <x:c r="H89" s="36"/>
      <x:c r="I89" s="36"/>
      <x:c r="J89" s="36"/>
      <x:c r="K89" s="36"/>
      <x:c r="L89" s="36"/>
      <x:c r="M89" s="36"/>
      <x:c r="N89" s="36"/>
      <x:c r="O89" s="36"/>
      <x:c r="P89" s="36"/>
      <x:c r="Q89" s="36"/>
      <x:c r="R89" s="36"/>
    </x:row>
    <x:row r="90" ht="42" customHeight="1">
      <x:c r="A90" s="36"/>
      <x:c r="B90" s="36"/>
      <x:c r="C90" s="36"/>
      <x:c r="D90" s="36"/>
      <x:c r="E90" s="36"/>
      <x:c r="F90" s="36"/>
      <x:c r="G90" s="36"/>
      <x:c r="H90" s="36"/>
      <x:c r="I90" s="36"/>
      <x:c r="J90" s="36"/>
      <x:c r="K90" s="36"/>
      <x:c r="L90" s="36"/>
      <x:c r="M90" s="36"/>
      <x:c r="N90" s="36"/>
      <x:c r="O90" s="36"/>
      <x:c r="P90" s="36"/>
      <x:c r="Q90" s="36"/>
      <x:c r="R90" s="36"/>
    </x:row>
    <x:row r="91" ht="42" customHeight="1">
      <x:c r="A91" s="36"/>
      <x:c r="B91" s="36"/>
      <x:c r="C91" s="36"/>
      <x:c r="D91" s="36"/>
      <x:c r="E91" s="36"/>
      <x:c r="F91" s="36"/>
      <x:c r="G91" s="36"/>
      <x:c r="H91" s="36"/>
      <x:c r="I91" s="36"/>
      <x:c r="J91" s="36"/>
      <x:c r="K91" s="36"/>
      <x:c r="L91" s="36"/>
      <x:c r="M91" s="36"/>
      <x:c r="N91" s="36"/>
      <x:c r="O91" s="36"/>
      <x:c r="P91" s="36"/>
      <x:c r="Q91" s="36"/>
      <x:c r="R91" s="36"/>
    </x:row>
    <x:row r="92" ht="42" customHeight="1">
      <x:c r="A92" s="36"/>
      <x:c r="B92" s="36"/>
      <x:c r="C92" s="36"/>
      <x:c r="D92" s="36"/>
      <x:c r="E92" s="36"/>
      <x:c r="F92" s="36"/>
      <x:c r="G92" s="36"/>
      <x:c r="H92" s="36"/>
      <x:c r="I92" s="36"/>
      <x:c r="J92" s="36"/>
      <x:c r="K92" s="36"/>
      <x:c r="L92" s="36"/>
      <x:c r="M92" s="36"/>
      <x:c r="N92" s="36"/>
      <x:c r="O92" s="36"/>
      <x:c r="P92" s="36"/>
      <x:c r="Q92" s="36"/>
      <x:c r="R92" s="36"/>
    </x:row>
    <x:row r="93" ht="42" customHeight="1">
      <x:c r="A93" s="36"/>
      <x:c r="B93" s="36"/>
      <x:c r="C93" s="36"/>
      <x:c r="D93" s="36"/>
      <x:c r="E93" s="36"/>
      <x:c r="F93" s="36"/>
      <x:c r="G93" s="36"/>
      <x:c r="H93" s="36"/>
      <x:c r="I93" s="36"/>
      <x:c r="J93" s="36"/>
      <x:c r="K93" s="36"/>
      <x:c r="L93" s="36"/>
      <x:c r="M93" s="36"/>
      <x:c r="N93" s="36"/>
      <x:c r="O93" s="36"/>
      <x:c r="P93" s="36"/>
      <x:c r="Q93" s="36"/>
      <x:c r="R93" s="36"/>
    </x:row>
    <x:row r="94" ht="42" customHeight="1">
      <x:c r="A94" s="36"/>
      <x:c r="B94" s="36"/>
      <x:c r="C94" s="36"/>
      <x:c r="D94" s="36"/>
      <x:c r="E94" s="36"/>
      <x:c r="F94" s="36"/>
      <x:c r="G94" s="36"/>
      <x:c r="H94" s="36"/>
      <x:c r="I94" s="36"/>
      <x:c r="J94" s="36"/>
      <x:c r="K94" s="36"/>
      <x:c r="L94" s="36"/>
      <x:c r="M94" s="36"/>
      <x:c r="N94" s="36"/>
      <x:c r="O94" s="36"/>
      <x:c r="P94" s="36"/>
      <x:c r="Q94" s="36"/>
      <x:c r="R94" s="36"/>
    </x:row>
    <x:row r="95" ht="42" customHeight="1">
      <x:c r="A95" s="36"/>
      <x:c r="B95" s="36"/>
      <x:c r="C95" s="36"/>
      <x:c r="D95" s="36"/>
      <x:c r="E95" s="36"/>
      <x:c r="F95" s="36"/>
      <x:c r="G95" s="36"/>
      <x:c r="H95" s="36"/>
      <x:c r="I95" s="36"/>
      <x:c r="J95" s="36"/>
      <x:c r="K95" s="36"/>
      <x:c r="L95" s="36"/>
      <x:c r="M95" s="36"/>
      <x:c r="N95" s="36"/>
      <x:c r="O95" s="36"/>
      <x:c r="P95" s="36"/>
      <x:c r="Q95" s="36"/>
      <x:c r="R95" s="36"/>
    </x:row>
    <x:row r="96" ht="42" customHeight="1">
      <x:c r="A96" s="36"/>
      <x:c r="B96" s="36"/>
      <x:c r="C96" s="36"/>
      <x:c r="D96" s="36"/>
      <x:c r="E96" s="36"/>
      <x:c r="F96" s="36"/>
      <x:c r="G96" s="36"/>
      <x:c r="H96" s="36"/>
      <x:c r="I96" s="36"/>
      <x:c r="J96" s="36"/>
      <x:c r="K96" s="36"/>
      <x:c r="L96" s="36"/>
      <x:c r="M96" s="36"/>
      <x:c r="N96" s="36"/>
      <x:c r="O96" s="36"/>
      <x:c r="P96" s="36"/>
      <x:c r="Q96" s="36"/>
      <x:c r="R96" s="36"/>
    </x:row>
    <x:row r="97" ht="42" customHeight="1">
      <x:c r="A97" s="36"/>
      <x:c r="B97" s="36"/>
      <x:c r="C97" s="36"/>
      <x:c r="D97" s="36"/>
      <x:c r="E97" s="36"/>
      <x:c r="F97" s="36"/>
      <x:c r="G97" s="36"/>
      <x:c r="H97" s="36"/>
      <x:c r="I97" s="36"/>
      <x:c r="J97" s="36"/>
      <x:c r="K97" s="36"/>
      <x:c r="L97" s="36"/>
      <x:c r="M97" s="36"/>
      <x:c r="N97" s="36"/>
      <x:c r="O97" s="36"/>
      <x:c r="P97" s="36"/>
      <x:c r="Q97" s="36"/>
      <x:c r="R97" s="36"/>
    </x:row>
    <x:row r="98" ht="42" customHeight="1">
      <x:c r="A98" s="36"/>
      <x:c r="B98" s="36"/>
      <x:c r="C98" s="36"/>
      <x:c r="D98" s="36"/>
      <x:c r="E98" s="36"/>
      <x:c r="F98" s="36"/>
      <x:c r="G98" s="36"/>
      <x:c r="H98" s="36"/>
      <x:c r="I98" s="36"/>
      <x:c r="J98" s="36"/>
      <x:c r="K98" s="36"/>
      <x:c r="L98" s="36"/>
      <x:c r="M98" s="36"/>
      <x:c r="N98" s="36"/>
      <x:c r="O98" s="36"/>
      <x:c r="P98" s="36"/>
      <x:c r="Q98" s="36"/>
      <x:c r="R98" s="36"/>
    </x:row>
    <x:row r="99" ht="42" customHeight="1">
      <x:c r="A99" s="36"/>
      <x:c r="B99" s="36"/>
      <x:c r="C99" s="36"/>
      <x:c r="D99" s="36"/>
      <x:c r="E99" s="36"/>
      <x:c r="F99" s="36"/>
      <x:c r="G99" s="36"/>
      <x:c r="H99" s="36"/>
      <x:c r="I99" s="36"/>
      <x:c r="J99" s="36"/>
      <x:c r="K99" s="36"/>
      <x:c r="L99" s="36"/>
      <x:c r="M99" s="36"/>
      <x:c r="N99" s="36"/>
      <x:c r="O99" s="36"/>
      <x:c r="P99" s="36"/>
      <x:c r="Q99" s="36"/>
      <x:c r="R99" s="36"/>
    </x:row>
    <x:row r="100" ht="42" customHeight="1">
      <x:c r="A100" s="36"/>
      <x:c r="B100" s="36"/>
      <x:c r="C100" s="36"/>
      <x:c r="D100" s="36"/>
      <x:c r="E100" s="36"/>
      <x:c r="F100" s="36"/>
      <x:c r="G100" s="36"/>
      <x:c r="H100" s="36"/>
      <x:c r="I100" s="36"/>
      <x:c r="J100" s="36"/>
      <x:c r="K100" s="36"/>
      <x:c r="L100" s="36"/>
      <x:c r="M100" s="36"/>
      <x:c r="N100" s="36"/>
      <x:c r="O100" s="36"/>
      <x:c r="P100" s="36"/>
      <x:c r="Q100" s="36"/>
      <x:c r="R100" s="36"/>
    </x:row>
    <x:row r="101" ht="42" customHeight="1">
      <x:c r="A101" s="36"/>
      <x:c r="B101" s="36"/>
      <x:c r="C101" s="36"/>
      <x:c r="D101" s="36"/>
      <x:c r="E101" s="36"/>
      <x:c r="F101" s="36"/>
      <x:c r="G101" s="36"/>
      <x:c r="H101" s="36"/>
      <x:c r="I101" s="36"/>
      <x:c r="J101" s="36"/>
      <x:c r="K101" s="36"/>
      <x:c r="L101" s="36"/>
      <x:c r="M101" s="36"/>
      <x:c r="N101" s="36"/>
      <x:c r="O101" s="36"/>
      <x:c r="P101" s="36"/>
      <x:c r="Q101" s="36"/>
      <x:c r="R101" s="36"/>
    </x:row>
    <x:row r="102" ht="42" customHeight="1">
      <x:c r="A102" s="36"/>
      <x:c r="B102" s="36"/>
      <x:c r="C102" s="36"/>
      <x:c r="D102" s="36"/>
      <x:c r="E102" s="36"/>
      <x:c r="F102" s="36"/>
      <x:c r="G102" s="36"/>
      <x:c r="H102" s="36"/>
      <x:c r="I102" s="36"/>
      <x:c r="J102" s="36"/>
      <x:c r="K102" s="36"/>
      <x:c r="L102" s="36"/>
      <x:c r="M102" s="36"/>
      <x:c r="N102" s="36"/>
      <x:c r="O102" s="36"/>
      <x:c r="P102" s="36"/>
      <x:c r="Q102" s="36"/>
      <x:c r="R102" s="36"/>
    </x:row>
  </x:sheetData>
  <x:mergeCells>
    <x:mergeCell ref="A1:R1"/>
  </x:mergeCells>
  <x:conditionalFormatting sqref="E3:E102">
    <x:cfRule type="expression" dxfId="4" priority="1">
      <x:formula>E3="Critical"</x:formula>
    </x:cfRule>
    <x:cfRule type="expression" dxfId="5" priority="2">
      <x:formula>E3="High"</x:formula>
    </x:cfRule>
    <x:cfRule type="expression" dxfId="6" priority="3">
      <x:formula>E3="Medium"</x:formula>
    </x:cfRule>
    <x:cfRule type="expression" dxfId="7" priority="4">
      <x:formula>E3="Low"</x:formula>
    </x:cfRule>
  </x:conditionalFormatting>
  <x:conditionalFormatting sqref="G3:G102">
    <x:cfRule type="expression" dxfId="8" priority="5">
      <x:formula>G3="Closed"</x:formula>
    </x:cfRule>
    <x:cfRule type="expression" dxfId="9" priority="6">
      <x:formula>G3="Ready for Retest"</x:formula>
    </x:cfRule>
    <x:cfRule type="expression" dxfId="10" priority="7">
      <x:formula>G3="Open"</x:formula>
    </x:cfRule>
  </x:conditionalFormatting>
  <x:dataValidations count="4">
    <x:dataValidation type="list" sqref="E3:E102">
      <x:formula1>Lists!$C$2:$C$5</x:formula1>
    </x:dataValidation>
    <x:dataValidation type="list" sqref="F3:F102">
      <x:formula1>Lists!$E$2:$E$5</x:formula1>
    </x:dataValidation>
    <x:dataValidation type="list" sqref="G3:G102">
      <x:formula1>Lists!$D$2:$D$9</x:formula1>
    </x:dataValidation>
    <x:dataValidation type="list" sqref="O3:O102">
      <x:formula1>Lists!$B$2:$B$7</x:formula1>
    </x:dataValidation>
  </x:dataValidations>
  <x:pageMargins left="0.7" right="0.7" top="0.75" bottom="0.75" header="0.3" footer="0.3"/>
  <x:tableParts count="1">
    <x:tablePart xmlns:r="http://schemas.openxmlformats.org/officeDocument/2006/relationships" r:id="Rb8278157058f4078"/>
  </x:tableParts>
</x:worksheet>
</file>

<file path=xl/worksheets/sheet4.xml><?xml version="1.0" encoding="utf-8"?>
<x:worksheet xmlns:x="http://schemas.openxmlformats.org/spreadsheetml/2006/main">
  <x:sheetFormatPr defaultRowHeight="15"/>
  <x:sheetData>
    <x:row r="1">
      <x:c r="A1" s="14" t="str">
        <x:v>Execution Status</x:v>
      </x:c>
      <x:c r="B1" s="14" t="str">
        <x:v>Retest Status</x:v>
      </x:c>
      <x:c r="C1" s="14" t="str">
        <x:v>Bug Severity</x:v>
      </x:c>
      <x:c r="D1" s="14" t="str">
        <x:v>Bug Status</x:v>
      </x:c>
      <x:c r="E1" s="14" t="str">
        <x:v>Priority</x:v>
      </x:c>
      <x:c r="F1" s="14" t="str">
        <x:v>YesNo</x:v>
      </x:c>
    </x:row>
    <x:row r="2">
      <x:c r="A2" t="str">
        <x:v>Not Started</x:v>
      </x:c>
      <x:c r="B2" t="str">
        <x:v>Not Retested</x:v>
      </x:c>
      <x:c r="C2" t="str">
        <x:v>Critical</x:v>
      </x:c>
      <x:c r="D2" t="str">
        <x:v>New</x:v>
      </x:c>
      <x:c r="E2" t="str">
        <x:v>Critical</x:v>
      </x:c>
      <x:c r="F2" t="str">
        <x:v>Yes</x:v>
      </x:c>
    </x:row>
    <x:row r="3">
      <x:c r="A3" t="str">
        <x:v>In Progress</x:v>
      </x:c>
      <x:c r="B3" t="str">
        <x:v>Ready for Retest</x:v>
      </x:c>
      <x:c r="C3" t="str">
        <x:v>High</x:v>
      </x:c>
      <x:c r="D3" t="str">
        <x:v>Open</x:v>
      </x:c>
      <x:c r="E3" t="str">
        <x:v>High</x:v>
      </x:c>
      <x:c r="F3" t="str">
        <x:v>No</x:v>
      </x:c>
    </x:row>
    <x:row r="4">
      <x:c r="A4" t="str">
        <x:v>Pass</x:v>
      </x:c>
      <x:c r="B4" t="str">
        <x:v>Pass</x:v>
      </x:c>
      <x:c r="C4" t="str">
        <x:v>Medium</x:v>
      </x:c>
      <x:c r="D4" t="str">
        <x:v>In Progress</x:v>
      </x:c>
      <x:c r="E4" t="str">
        <x:v>Medium</x:v>
      </x:c>
      <x:c r="F4" t="str"/>
    </x:row>
    <x:row r="5">
      <x:c r="A5" t="str">
        <x:v>Fail</x:v>
      </x:c>
      <x:c r="B5" t="str">
        <x:v>Fail</x:v>
      </x:c>
      <x:c r="C5" t="str">
        <x:v>Low</x:v>
      </x:c>
      <x:c r="D5" t="str">
        <x:v>Fixed</x:v>
      </x:c>
      <x:c r="E5" t="str">
        <x:v>Low</x:v>
      </x:c>
      <x:c r="F5" t="str"/>
    </x:row>
    <x:row r="6">
      <x:c r="A6" t="str">
        <x:v>Blocked</x:v>
      </x:c>
      <x:c r="B6" t="str">
        <x:v>Blocked</x:v>
      </x:c>
      <x:c r="C6" t="str"/>
      <x:c r="D6" t="str">
        <x:v>Ready for Retest</x:v>
      </x:c>
      <x:c r="E6" t="str"/>
      <x:c r="F6" t="str"/>
    </x:row>
    <x:row r="7">
      <x:c r="A7" t="str">
        <x:v>N/A</x:v>
      </x:c>
      <x:c r="B7" t="str">
        <x:v>N/A</x:v>
      </x:c>
      <x:c r="C7" t="str"/>
      <x:c r="D7" t="str">
        <x:v>Closed</x:v>
      </x:c>
      <x:c r="E7" t="str"/>
      <x:c r="F7" t="str"/>
    </x:row>
    <x:row r="8">
      <x:c r="A8" t="str"/>
      <x:c r="B8" t="str"/>
      <x:c r="C8" t="str"/>
      <x:c r="D8" t="str">
        <x:v>Rejected</x:v>
      </x:c>
      <x:c r="E8" t="str"/>
      <x:c r="F8" t="str"/>
    </x:row>
    <x:row r="9">
      <x:c r="A9" t="str"/>
      <x:c r="B9" t="str"/>
      <x:c r="C9" t="str"/>
      <x:c r="D9" t="str">
        <x:v>Deferred</x:v>
      </x:c>
      <x:c r="E9" t="str"/>
      <x:c r="F9" t="str"/>
    </x:row>
  </x:sheetData>
  <x:pageMargins left="0.7" right="0.7" top="0.75" bottom="0.75" header="0.3" footer="0.3"/>
  <x:tableParts count="1">
    <x:tablePart xmlns:r="http://schemas.openxmlformats.org/officeDocument/2006/relationships" r:id="R1b55d6d05a9a4a7f"/>
  </x:tableParts>
</x:worksheet>
</file>

<file path=xl/worksheets/sheet5.xml><?xml version="1.0" encoding="utf-8"?>
<x:worksheet xmlns:x="http://schemas.openxmlformats.org/spreadsheetml/2006/main">
  <x:sheetFormatPr defaultRowHeight="15"/>
  <x:cols>
    <x:col min="1" max="1" width="40.11000061035156" hidden="0" customWidth="1"/>
    <x:col min="2" max="2" width="130.00999450683594" hidden="0" customWidth="1"/>
  </x:cols>
  <x:sheetData>
    <x:row r="1">
      <x:c r="A1" s="5" t="str">
        <x:v>Manual Testing Workbook Instructions</x:v>
      </x:c>
      <x:c r="B1" s="5" t="str"/>
    </x:row>
    <x:row r="2">
      <x:c r="A2" s="24" t="str">
        <x:v>Purpose</x:v>
      </x:c>
      <x:c r="B2" s="30" t="str">
        <x:v>Use this workbook to execute the manual business test suite and log ongoing bugs.</x:v>
      </x:c>
    </x:row>
    <x:row r="3">
      <x:c r="A3" s="24" t="str">
        <x:v>How to test</x:v>
      </x:c>
      <x:c r="B3" s="30" t="str">
        <x:v>Start in the Test Execution sheet. Run each test case in the app and update Execution Status, Actual Result/Evidence, Owner, and Test Date.</x:v>
      </x:c>
    </x:row>
    <x:row r="4">
      <x:c r="A4" s="24" t="str">
        <x:v>When a test fails</x:v>
      </x:c>
      <x:c r="B4" s="30" t="str">
        <x:v>Create a Bug ID in Bug Log, describe the issue, then paste the Bug ID back into the Test Execution row.</x:v>
      </x:c>
    </x:row>
    <x:row r="5">
      <x:c r="A5" s="24" t="str">
        <x:v>Allowed work during freeze</x:v>
      </x:c>
      <x:c r="B5" s="30" t="str">
        <x:v>Bug fixes, calculation fixes, reconciliation fixes, test fixes, documentation updates, and UI fixes that block testing.</x:v>
      </x:c>
    </x:row>
    <x:row r="6">
      <x:c r="A6" s="24" t="str">
        <x:v>Blocked work during freeze</x:v>
      </x:c>
      <x:c r="B6" s="30" t="str">
        <x:v>New features, real email sending, multi-user setup, new dashboards/pages/workflows, SAP integration, or major redesign without explicit risk acceptance.</x:v>
      </x:c>
    </x:row>
    <x:row r="7">
      <x:c r="A7" s="24" t="str">
        <x:v>Risk phrase required</x:v>
      </x:c>
      <x:c r="B7" s="30" t="str">
        <x:v>I AGREE TO THE RISKS AND WANT TO PROCEED FORWARD</x:v>
      </x:c>
    </x:row>
    <x:row r="8">
      <x:c r="A8" s="24" t="str">
        <x:v>1-person MVP exit criteria</x:v>
      </x:c>
      <x:c r="B8" s="30" t="str">
        <x:v>All Critical and High tests are Pass or justified N/A; no open Critical bugs; High bugs either fixed or explicitly accepted; dashboard reconciliation matches mock data.</x:v>
      </x:c>
    </x:row>
    <x:row r="9">
      <x:c r="A9" s="24" t="str">
        <x:v>Source document</x:v>
      </x:c>
      <x:c r="B9" s="30" t="str">
        <x:v>manual-business-testing-guide(1).md</x:v>
      </x:c>
    </x:row>
  </x:sheetData>
  <x:pageMargins left="0.7" right="0.7" top="0.75" bottom="0.75" header="0.3" footer="0.3"/>
</x:worksheet>
</file>